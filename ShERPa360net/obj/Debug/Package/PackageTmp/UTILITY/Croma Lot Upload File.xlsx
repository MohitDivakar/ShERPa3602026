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Mohit E Drive Data\CROMA\Lot to Lot Sale\"/>
    </mc:Choice>
  </mc:AlternateContent>
  <xr:revisionPtr revIDLastSave="0" documentId="13_ncr:1_{F0A2BF76-2898-4CE2-9591-AE4326AF4A5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4" i="1" l="1"/>
  <c r="AA20" i="1"/>
  <c r="AA16" i="1"/>
  <c r="AA12" i="1"/>
  <c r="AA8" i="1"/>
  <c r="AA4" i="1"/>
  <c r="Q31" i="1"/>
  <c r="AA31" i="1" s="1"/>
  <c r="Q30" i="1"/>
  <c r="AA30" i="1" s="1"/>
  <c r="Q29" i="1"/>
  <c r="AA29" i="1" s="1"/>
  <c r="Q28" i="1"/>
  <c r="AA28" i="1" s="1"/>
  <c r="Q27" i="1"/>
  <c r="AA27" i="1" s="1"/>
  <c r="Q26" i="1"/>
  <c r="AA26" i="1" s="1"/>
  <c r="Q25" i="1"/>
  <c r="AA25" i="1" s="1"/>
  <c r="Q24" i="1"/>
  <c r="Q23" i="1"/>
  <c r="AA23" i="1" s="1"/>
  <c r="Q22" i="1"/>
  <c r="AA22" i="1" s="1"/>
  <c r="Q21" i="1"/>
  <c r="AA21" i="1" s="1"/>
  <c r="Q20" i="1"/>
  <c r="Q19" i="1"/>
  <c r="AA19" i="1" s="1"/>
  <c r="Q18" i="1"/>
  <c r="AA18" i="1" s="1"/>
  <c r="Q17" i="1"/>
  <c r="AA17" i="1" s="1"/>
  <c r="Q16" i="1"/>
  <c r="Q15" i="1"/>
  <c r="AA15" i="1" s="1"/>
  <c r="Q14" i="1"/>
  <c r="AA14" i="1" s="1"/>
  <c r="Q13" i="1"/>
  <c r="AA13" i="1" s="1"/>
  <c r="Q12" i="1"/>
  <c r="Q11" i="1"/>
  <c r="AA11" i="1" s="1"/>
  <c r="Q10" i="1"/>
  <c r="AA10" i="1" s="1"/>
  <c r="Q9" i="1"/>
  <c r="AA9" i="1" s="1"/>
  <c r="Q8" i="1"/>
  <c r="Q7" i="1"/>
  <c r="AA7" i="1" s="1"/>
  <c r="Q6" i="1"/>
  <c r="AA6" i="1" s="1"/>
  <c r="Q5" i="1"/>
  <c r="AA5" i="1" s="1"/>
  <c r="Q4" i="1"/>
  <c r="Q3" i="1"/>
  <c r="AA3" i="1" s="1"/>
  <c r="Q2" i="1"/>
  <c r="AA2" i="1" s="1"/>
</calcChain>
</file>

<file path=xl/sharedStrings.xml><?xml version="1.0" encoding="utf-8"?>
<sst xmlns="http://schemas.openxmlformats.org/spreadsheetml/2006/main" count="328" uniqueCount="124">
  <si>
    <t>RPA Site Code</t>
  </si>
  <si>
    <t>Croma Lot No</t>
  </si>
  <si>
    <t>QTEK Lot No</t>
  </si>
  <si>
    <t>Inward Scan ID</t>
  </si>
  <si>
    <t>SR No</t>
  </si>
  <si>
    <t>Article No</t>
  </si>
  <si>
    <t>Item Code</t>
  </si>
  <si>
    <t>Item Desc</t>
  </si>
  <si>
    <t>Brand</t>
  </si>
  <si>
    <t>Product</t>
  </si>
  <si>
    <t>Serial No</t>
  </si>
  <si>
    <t>Qty</t>
  </si>
  <si>
    <t>Grade</t>
  </si>
  <si>
    <t>MRP</t>
  </si>
  <si>
    <t>MAP</t>
  </si>
  <si>
    <t>ASP</t>
  </si>
  <si>
    <t>ASP with GST</t>
  </si>
  <si>
    <t>PO Amt</t>
  </si>
  <si>
    <t>Inventory Value</t>
  </si>
  <si>
    <t>Average Recovery (%)</t>
  </si>
  <si>
    <t>Recovery without Mark Up</t>
  </si>
  <si>
    <t>Mark Up Brand (%)</t>
  </si>
  <si>
    <t>Final Recovery without GST</t>
  </si>
  <si>
    <t>GST (%)</t>
  </si>
  <si>
    <t>GST Amt</t>
  </si>
  <si>
    <t>QTEK Price</t>
  </si>
  <si>
    <t>Old Price</t>
  </si>
  <si>
    <t>Sales Price</t>
  </si>
  <si>
    <t>RP02</t>
  </si>
  <si>
    <t>RP02-88</t>
  </si>
  <si>
    <t>Q-RP02-88</t>
  </si>
  <si>
    <t>P1-731F</t>
  </si>
  <si>
    <t>P1-B4EA</t>
  </si>
  <si>
    <t>P1-789E</t>
  </si>
  <si>
    <t>P1-5101</t>
  </si>
  <si>
    <t>P1-52B4</t>
  </si>
  <si>
    <t>O9-8815</t>
  </si>
  <si>
    <t>O9-720D</t>
  </si>
  <si>
    <t>O9-817E</t>
  </si>
  <si>
    <t>P1-4CAD</t>
  </si>
  <si>
    <t>P1-4C92</t>
  </si>
  <si>
    <t>P1-C629</t>
  </si>
  <si>
    <t>P1-C5F3</t>
  </si>
  <si>
    <t>P1-C5FD</t>
  </si>
  <si>
    <t>P1-5C5F</t>
  </si>
  <si>
    <t>P1-C639</t>
  </si>
  <si>
    <t>P1-4BBD</t>
  </si>
  <si>
    <t>P1-C52D</t>
  </si>
  <si>
    <t>P1-4A86</t>
  </si>
  <si>
    <t>P1-5C49</t>
  </si>
  <si>
    <t>P1-4B27</t>
  </si>
  <si>
    <t>P1-54A8</t>
  </si>
  <si>
    <t>P1-292A</t>
  </si>
  <si>
    <t>P1-B879</t>
  </si>
  <si>
    <t>P1-5242</t>
  </si>
  <si>
    <t>P1-22D1</t>
  </si>
  <si>
    <t>P1-4157</t>
  </si>
  <si>
    <t>P1-2473</t>
  </si>
  <si>
    <t>P1-46F4</t>
  </si>
  <si>
    <t>P1-2417</t>
  </si>
  <si>
    <t>P1-38D8</t>
  </si>
  <si>
    <t>Q000313620</t>
  </si>
  <si>
    <t>Q000315426</t>
  </si>
  <si>
    <t>Q000306326</t>
  </si>
  <si>
    <t>Q000306989</t>
  </si>
  <si>
    <t>Q000267760</t>
  </si>
  <si>
    <t>Q000315438</t>
  </si>
  <si>
    <t>Q000310177</t>
  </si>
  <si>
    <t>Q000313625</t>
  </si>
  <si>
    <t>Q000260549</t>
  </si>
  <si>
    <t>Q000303545</t>
  </si>
  <si>
    <t>Q000267761</t>
  </si>
  <si>
    <t>Q000313703</t>
  </si>
  <si>
    <t>Q000315428</t>
  </si>
  <si>
    <t>SAMSUNG FF 330L RT34DG5A2BS8HL INX 2S</t>
  </si>
  <si>
    <t>SAMSUNG WM TL 8KG WA80F08S2CTL BLK 5S</t>
  </si>
  <si>
    <t>SAMSUNG FF 256L RT30C3732BX/HL BLK 2S</t>
  </si>
  <si>
    <t>SAMSUNG SBS 653L RS76CB81A333HL CHBLK 3S</t>
  </si>
  <si>
    <t>SAMSUNG FF 236L RT28C3832S8/HL ELGINX 2S</t>
  </si>
  <si>
    <t>SAMSUNG WM TL 10KG WA80F10B3NTL BLUE 5S</t>
  </si>
  <si>
    <t>SAMSUNG FF 419L RT45DG6A4DBXHL LXE BK 3S</t>
  </si>
  <si>
    <t>SAMSUNG FF 350L RT38DG5A2BBXHL LX BLK 2S</t>
  </si>
  <si>
    <t>SAMSUNG W/M TL 7KG WA70BG4441BYTL DGRY</t>
  </si>
  <si>
    <t>SAMSUNG WM FL 7KG WW70R22EK0X/TL INX GRY</t>
  </si>
  <si>
    <t>SAMSUNG FF 236L RT28C3042S8/HL ELGINX 2S</t>
  </si>
  <si>
    <t>SAMSUNG FF 330L RT34DG5A4DB1HL BLK 3S</t>
  </si>
  <si>
    <t>SAMSUNG WM TL 8KG WA80F08E2BTL BLK 5S</t>
  </si>
  <si>
    <t>Samsung</t>
  </si>
  <si>
    <t>Refrigerators</t>
  </si>
  <si>
    <t>Washing Machines</t>
  </si>
  <si>
    <t>05T64PBY604029E</t>
  </si>
  <si>
    <t>05VK5PBY605277Z</t>
  </si>
  <si>
    <t>05NA4PBY700255B</t>
  </si>
  <si>
    <t>05SE4PBY600693N</t>
  </si>
  <si>
    <t>05N24PBY600942L</t>
  </si>
  <si>
    <t>05T64PBY601053L</t>
  </si>
  <si>
    <t>05VN5PBY601323X</t>
  </si>
  <si>
    <t>05VN5PBY602273J</t>
  </si>
  <si>
    <t>05T64PBY604218N</t>
  </si>
  <si>
    <t>05SR4PBY600252D</t>
  </si>
  <si>
    <t>05TC4PBY602547X</t>
  </si>
  <si>
    <t>05TC4PBY601882D</t>
  </si>
  <si>
    <t>05VK5PBY605223E</t>
  </si>
  <si>
    <t>05A15PBY514735V</t>
  </si>
  <si>
    <t>05SR4PBY600292Y</t>
  </si>
  <si>
    <t>05RP5PBY701460D</t>
  </si>
  <si>
    <t>05MF4PAY508879E</t>
  </si>
  <si>
    <t>05T64PBY600828K</t>
  </si>
  <si>
    <t>05T64PBY601012W</t>
  </si>
  <si>
    <t>05TC4PBY602532V</t>
  </si>
  <si>
    <t>05T84PBY700723K</t>
  </si>
  <si>
    <t>05T84PBY700904F</t>
  </si>
  <si>
    <t>05VK5PBY605565E</t>
  </si>
  <si>
    <t>05MF4PBY502569Z</t>
  </si>
  <si>
    <t>05T64PBY503693Z</t>
  </si>
  <si>
    <t>05MF4PBY503991N</t>
  </si>
  <si>
    <t>05T64PBY603489X</t>
  </si>
  <si>
    <t>05MF4PBY601228L</t>
  </si>
  <si>
    <t>05VF5PBY701731R</t>
  </si>
  <si>
    <t>05MF4PAY503784B</t>
  </si>
  <si>
    <t>C</t>
  </si>
  <si>
    <t>B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</si>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</sst>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1" fontId="0" fillId="0" borderId="0" xfId="0" applyNumberFormat="1"/>
    <xf numFmtId="1" fontId="0" fillId="0" borderId="1" xfId="1" applyNumberFormat="1" applyFon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0" fillId="0" borderId="1" xfId="0" applyNumberFormat="1" applyBorder="1"/>
    <xf numFmtId="1" fontId="0" fillId="0" borderId="1" xfId="0" applyNumberFormat="1" applyBorder="1"/>
    <xf numFmtId="2" fontId="2" fillId="0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tabSelected="1" workbookViewId="0">
      <selection activeCell="C6" sqref="C6"/>
    </sheetView>
  </sheetViews>
  <sheetFormatPr defaultColWidth="13.42578125" defaultRowHeight="15" x14ac:dyDescent="0.25"/>
  <cols>
    <col min="1" max="1" width="13.5703125" bestFit="1" customWidth="1"/>
    <col min="2" max="2" width="12.85546875" bestFit="1" customWidth="1"/>
    <col min="3" max="3" width="11.7109375" bestFit="1" customWidth="1"/>
    <col min="4" max="4" width="14" bestFit="1" customWidth="1"/>
    <col min="5" max="5" width="6.140625" bestFit="1" customWidth="1"/>
    <col min="6" max="6" width="9.85546875" bestFit="1" customWidth="1"/>
    <col min="7" max="7" width="11.42578125" bestFit="1" customWidth="1"/>
    <col min="8" max="8" width="45" bestFit="1" customWidth="1"/>
    <col min="9" max="9" width="8.85546875" bestFit="1" customWidth="1"/>
    <col min="10" max="11" width="17.7109375" bestFit="1" customWidth="1"/>
    <col min="12" max="12" width="4.140625" bestFit="1" customWidth="1"/>
    <col min="13" max="13" width="6.28515625" bestFit="1" customWidth="1"/>
    <col min="14" max="14" width="7" style="2" bestFit="1" customWidth="1"/>
    <col min="15" max="16" width="8.5703125" bestFit="1" customWidth="1"/>
    <col min="17" max="17" width="12.5703125" bestFit="1" customWidth="1"/>
    <col min="18" max="18" width="8.5703125" bestFit="1" customWidth="1"/>
    <col min="19" max="19" width="15.28515625" bestFit="1" customWidth="1"/>
    <col min="20" max="20" width="20.5703125" bestFit="1" customWidth="1"/>
    <col min="21" max="21" width="24.7109375" bestFit="1" customWidth="1"/>
    <col min="22" max="22" width="17.5703125" bestFit="1" customWidth="1"/>
    <col min="23" max="23" width="25.5703125" bestFit="1" customWidth="1"/>
    <col min="24" max="24" width="7.7109375" bestFit="1" customWidth="1"/>
    <col min="25" max="25" width="8.42578125" bestFit="1" customWidth="1"/>
    <col min="26" max="26" width="10.42578125" bestFit="1" customWidth="1"/>
    <col min="27" max="27" width="9.5703125" bestFit="1" customWidth="1"/>
    <col min="28" max="28" width="10.425781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>
        <v>1</v>
      </c>
      <c r="F2" s="1">
        <v>313620</v>
      </c>
      <c r="G2" s="1" t="s">
        <v>61</v>
      </c>
      <c r="H2" s="1" t="s">
        <v>74</v>
      </c>
      <c r="I2" s="1" t="s">
        <v>87</v>
      </c>
      <c r="J2" s="1" t="s">
        <v>88</v>
      </c>
      <c r="K2" s="1" t="s">
        <v>90</v>
      </c>
      <c r="L2" s="1">
        <v>1</v>
      </c>
      <c r="M2" s="1" t="s">
        <v>120</v>
      </c>
      <c r="N2" s="3">
        <v>53990</v>
      </c>
      <c r="O2" s="4">
        <v>29397.82</v>
      </c>
      <c r="P2" s="4">
        <v>31447.0183044316</v>
      </c>
      <c r="Q2" s="4">
        <f>P2+(P2*X2)</f>
        <v>597493.34778420033</v>
      </c>
      <c r="R2" s="4">
        <v>29000.521469284329</v>
      </c>
      <c r="S2" s="5">
        <v>29000.521469284329</v>
      </c>
      <c r="T2" s="5">
        <v>0.61135449032420786</v>
      </c>
      <c r="U2" s="5">
        <v>17729.599021990569</v>
      </c>
      <c r="V2" s="6">
        <v>0</v>
      </c>
      <c r="W2" s="5">
        <v>17729.599021990569</v>
      </c>
      <c r="X2" s="8">
        <v>18</v>
      </c>
      <c r="Y2" s="5">
        <v>3191.3278239583024</v>
      </c>
      <c r="Z2" s="5">
        <v>20920.92684594887</v>
      </c>
      <c r="AA2" s="6">
        <f>((MIN(O2:R2))*T2)+((MIN(O2:R2))*8%)+((((MIN(O2:R2))*T2)+((MIN(O2:R2))*8%))*X2)</f>
        <v>380943.17405113298</v>
      </c>
      <c r="AB2" s="1">
        <v>26995</v>
      </c>
    </row>
    <row r="3" spans="1:28" x14ac:dyDescent="0.25">
      <c r="A3" s="1" t="s">
        <v>28</v>
      </c>
      <c r="B3" s="1" t="s">
        <v>29</v>
      </c>
      <c r="C3" s="1" t="s">
        <v>30</v>
      </c>
      <c r="D3" s="1" t="s">
        <v>32</v>
      </c>
      <c r="E3" s="1">
        <v>2</v>
      </c>
      <c r="F3" s="1">
        <v>315426</v>
      </c>
      <c r="G3" s="1" t="s">
        <v>62</v>
      </c>
      <c r="H3" s="1" t="s">
        <v>75</v>
      </c>
      <c r="I3" s="1" t="s">
        <v>87</v>
      </c>
      <c r="J3" s="1" t="s">
        <v>89</v>
      </c>
      <c r="K3" s="1" t="s">
        <v>91</v>
      </c>
      <c r="L3" s="1">
        <v>1</v>
      </c>
      <c r="M3" s="1" t="s">
        <v>120</v>
      </c>
      <c r="N3" s="3">
        <v>31990</v>
      </c>
      <c r="O3" s="4">
        <v>16443.5</v>
      </c>
      <c r="P3" s="4">
        <v>23001</v>
      </c>
      <c r="Q3" s="4">
        <f t="shared" ref="Q3:Q31" si="0">P3+(P3*X3)</f>
        <v>437019</v>
      </c>
      <c r="R3" s="4">
        <v>23001</v>
      </c>
      <c r="S3" s="5">
        <v>16443.5</v>
      </c>
      <c r="T3" s="5">
        <v>0.6049833230720687</v>
      </c>
      <c r="U3" s="5">
        <v>9948.0432729355616</v>
      </c>
      <c r="V3" s="6">
        <v>0</v>
      </c>
      <c r="W3" s="5">
        <v>9948.0432729355616</v>
      </c>
      <c r="X3" s="8">
        <v>18</v>
      </c>
      <c r="Y3" s="5">
        <v>1790.647789128401</v>
      </c>
      <c r="Z3" s="5">
        <v>11738.691062063963</v>
      </c>
      <c r="AA3" s="6">
        <f t="shared" ref="AA3:AA31" si="1">((MIN(O3:R3))*T3)+((MIN(O3:R3))*8%)+((((MIN(O3:R3))*T3)+((MIN(O3:R3))*8%))*X3)</f>
        <v>214006.94218577567</v>
      </c>
      <c r="AB3" s="1">
        <v>15995</v>
      </c>
    </row>
    <row r="4" spans="1:28" x14ac:dyDescent="0.25">
      <c r="A4" s="1" t="s">
        <v>28</v>
      </c>
      <c r="B4" s="1" t="s">
        <v>29</v>
      </c>
      <c r="C4" s="1" t="s">
        <v>30</v>
      </c>
      <c r="D4" s="1" t="s">
        <v>33</v>
      </c>
      <c r="E4" s="1">
        <v>3</v>
      </c>
      <c r="F4" s="1">
        <v>306326</v>
      </c>
      <c r="G4" s="1" t="s">
        <v>63</v>
      </c>
      <c r="H4" s="1" t="s">
        <v>76</v>
      </c>
      <c r="I4" s="1" t="s">
        <v>87</v>
      </c>
      <c r="J4" s="1" t="s">
        <v>88</v>
      </c>
      <c r="K4" s="1" t="s">
        <v>92</v>
      </c>
      <c r="L4" s="1">
        <v>1</v>
      </c>
      <c r="M4" s="1" t="s">
        <v>121</v>
      </c>
      <c r="N4" s="3">
        <v>43990</v>
      </c>
      <c r="O4" s="4">
        <v>23856.1</v>
      </c>
      <c r="P4" s="4">
        <v>25781.348258706468</v>
      </c>
      <c r="Q4" s="4">
        <f t="shared" si="0"/>
        <v>489845.6169154229</v>
      </c>
      <c r="R4" s="4">
        <v>23347.043529411763</v>
      </c>
      <c r="S4" s="5">
        <v>23347.043529411763</v>
      </c>
      <c r="T4" s="5">
        <v>0.66767186985157112</v>
      </c>
      <c r="U4" s="5">
        <v>15588.164208788376</v>
      </c>
      <c r="V4" s="6">
        <v>0</v>
      </c>
      <c r="W4" s="5">
        <v>15588.164208788376</v>
      </c>
      <c r="X4" s="8">
        <v>18</v>
      </c>
      <c r="Y4" s="5">
        <v>2805.8695575819074</v>
      </c>
      <c r="Z4" s="5">
        <v>18394.033766370281</v>
      </c>
      <c r="AA4" s="6">
        <f t="shared" si="1"/>
        <v>331662.62613168504</v>
      </c>
      <c r="AB4" s="1">
        <v>21995</v>
      </c>
    </row>
    <row r="5" spans="1:28" x14ac:dyDescent="0.25">
      <c r="A5" s="1" t="s">
        <v>28</v>
      </c>
      <c r="B5" s="1" t="s">
        <v>29</v>
      </c>
      <c r="C5" s="1" t="s">
        <v>30</v>
      </c>
      <c r="D5" s="1" t="s">
        <v>34</v>
      </c>
      <c r="E5" s="1">
        <v>4</v>
      </c>
      <c r="F5" s="1">
        <v>306989</v>
      </c>
      <c r="G5" s="1" t="s">
        <v>64</v>
      </c>
      <c r="H5" s="1" t="s">
        <v>77</v>
      </c>
      <c r="I5" s="1" t="s">
        <v>87</v>
      </c>
      <c r="J5" s="1" t="s">
        <v>88</v>
      </c>
      <c r="K5" s="1" t="s">
        <v>93</v>
      </c>
      <c r="L5" s="1">
        <v>1</v>
      </c>
      <c r="M5" s="1" t="s">
        <v>122</v>
      </c>
      <c r="N5" s="3">
        <v>160000</v>
      </c>
      <c r="O5" s="4">
        <v>81959.490000000005</v>
      </c>
      <c r="P5" s="4">
        <v>82712.601351351346</v>
      </c>
      <c r="Q5" s="4">
        <f t="shared" si="0"/>
        <v>1571539.4256756755</v>
      </c>
      <c r="R5" s="4">
        <v>81959.490000000034</v>
      </c>
      <c r="S5" s="5">
        <v>81959.490000000005</v>
      </c>
      <c r="T5" s="5">
        <v>0.51482022729891641</v>
      </c>
      <c r="U5" s="5">
        <v>42194.403271103271</v>
      </c>
      <c r="V5" s="6">
        <v>0</v>
      </c>
      <c r="W5" s="5">
        <v>42194.403271103271</v>
      </c>
      <c r="X5" s="8">
        <v>18</v>
      </c>
      <c r="Y5" s="5">
        <v>7594.9925887985883</v>
      </c>
      <c r="Z5" s="5">
        <v>49789.395859901859</v>
      </c>
      <c r="AA5" s="6">
        <f t="shared" si="1"/>
        <v>926272.08695096208</v>
      </c>
      <c r="AB5" s="1">
        <v>80000</v>
      </c>
    </row>
    <row r="6" spans="1:28" x14ac:dyDescent="0.25">
      <c r="A6" s="1" t="s">
        <v>28</v>
      </c>
      <c r="B6" s="1" t="s">
        <v>29</v>
      </c>
      <c r="C6" s="1" t="s">
        <v>30</v>
      </c>
      <c r="D6" s="1" t="s">
        <v>35</v>
      </c>
      <c r="E6" s="1">
        <v>5</v>
      </c>
      <c r="F6" s="1">
        <v>267760</v>
      </c>
      <c r="G6" s="1" t="s">
        <v>65</v>
      </c>
      <c r="H6" s="1" t="s">
        <v>78</v>
      </c>
      <c r="I6" s="1" t="s">
        <v>87</v>
      </c>
      <c r="J6" s="1" t="s">
        <v>88</v>
      </c>
      <c r="K6" s="1" t="s">
        <v>94</v>
      </c>
      <c r="L6" s="1">
        <v>1</v>
      </c>
      <c r="M6" s="1" t="s">
        <v>121</v>
      </c>
      <c r="N6" s="3">
        <v>37990</v>
      </c>
      <c r="O6" s="4">
        <v>22367.99</v>
      </c>
      <c r="P6" s="4">
        <v>24260.385345997285</v>
      </c>
      <c r="Q6" s="4">
        <f t="shared" si="0"/>
        <v>460947.32157394843</v>
      </c>
      <c r="R6" s="4">
        <v>22367.990000000016</v>
      </c>
      <c r="S6" s="5">
        <v>22367.99</v>
      </c>
      <c r="T6" s="5">
        <v>0.66767186985157112</v>
      </c>
      <c r="U6" s="5">
        <v>14934.477708121245</v>
      </c>
      <c r="V6" s="6">
        <v>0</v>
      </c>
      <c r="W6" s="5">
        <v>14934.477708121245</v>
      </c>
      <c r="X6" s="8">
        <v>18</v>
      </c>
      <c r="Y6" s="5">
        <v>2688.205987461824</v>
      </c>
      <c r="Z6" s="5">
        <v>17622.683695583069</v>
      </c>
      <c r="AA6" s="6">
        <f t="shared" si="1"/>
        <v>317754.42125430371</v>
      </c>
      <c r="AB6" s="1">
        <v>18995</v>
      </c>
    </row>
    <row r="7" spans="1:28" x14ac:dyDescent="0.25">
      <c r="A7" s="1" t="s">
        <v>28</v>
      </c>
      <c r="B7" s="1" t="s">
        <v>29</v>
      </c>
      <c r="C7" s="1" t="s">
        <v>30</v>
      </c>
      <c r="D7" s="1" t="s">
        <v>36</v>
      </c>
      <c r="E7" s="1">
        <v>6</v>
      </c>
      <c r="F7" s="1">
        <v>313620</v>
      </c>
      <c r="G7" s="1" t="s">
        <v>61</v>
      </c>
      <c r="H7" s="1" t="s">
        <v>74</v>
      </c>
      <c r="I7" s="1" t="s">
        <v>87</v>
      </c>
      <c r="J7" s="1" t="s">
        <v>88</v>
      </c>
      <c r="K7" s="1" t="s">
        <v>95</v>
      </c>
      <c r="L7" s="1">
        <v>1</v>
      </c>
      <c r="M7" s="1" t="s">
        <v>121</v>
      </c>
      <c r="N7" s="3">
        <v>53990</v>
      </c>
      <c r="O7" s="4">
        <v>29397.82</v>
      </c>
      <c r="P7" s="4">
        <v>31447.0183044316</v>
      </c>
      <c r="Q7" s="4">
        <f t="shared" si="0"/>
        <v>597493.34778420033</v>
      </c>
      <c r="R7" s="4">
        <v>29000.521469284329</v>
      </c>
      <c r="S7" s="5">
        <v>29000.521469284329</v>
      </c>
      <c r="T7" s="5">
        <v>0.66767186985157112</v>
      </c>
      <c r="U7" s="5">
        <v>19362.832396067701</v>
      </c>
      <c r="V7" s="6">
        <v>0</v>
      </c>
      <c r="W7" s="5">
        <v>19362.832396067701</v>
      </c>
      <c r="X7" s="8">
        <v>18</v>
      </c>
      <c r="Y7" s="5">
        <v>3485.3098312921861</v>
      </c>
      <c r="Z7" s="5">
        <v>22848.142227359887</v>
      </c>
      <c r="AA7" s="6">
        <f t="shared" si="1"/>
        <v>411974.60815859848</v>
      </c>
      <c r="AB7" s="1">
        <v>26995</v>
      </c>
    </row>
    <row r="8" spans="1:28" x14ac:dyDescent="0.25">
      <c r="A8" s="1" t="s">
        <v>28</v>
      </c>
      <c r="B8" s="1" t="s">
        <v>29</v>
      </c>
      <c r="C8" s="1" t="s">
        <v>30</v>
      </c>
      <c r="D8" s="1" t="s">
        <v>37</v>
      </c>
      <c r="E8" s="1">
        <v>7</v>
      </c>
      <c r="F8" s="1">
        <v>315438</v>
      </c>
      <c r="G8" s="1" t="s">
        <v>66</v>
      </c>
      <c r="H8" s="1" t="s">
        <v>79</v>
      </c>
      <c r="I8" s="1" t="s">
        <v>87</v>
      </c>
      <c r="J8" s="1" t="s">
        <v>89</v>
      </c>
      <c r="K8" s="1" t="s">
        <v>96</v>
      </c>
      <c r="L8" s="1">
        <v>1</v>
      </c>
      <c r="M8" s="1" t="s">
        <v>121</v>
      </c>
      <c r="N8" s="3">
        <v>41990</v>
      </c>
      <c r="O8" s="4">
        <v>20941</v>
      </c>
      <c r="P8" s="4">
        <v>22541</v>
      </c>
      <c r="Q8" s="4">
        <f t="shared" si="0"/>
        <v>428279</v>
      </c>
      <c r="R8" s="4">
        <v>0</v>
      </c>
      <c r="S8" s="5">
        <v>20941</v>
      </c>
      <c r="T8" s="5">
        <v>0.68015365713515585</v>
      </c>
      <c r="U8" s="5">
        <v>14243.097734067298</v>
      </c>
      <c r="V8" s="6">
        <v>0</v>
      </c>
      <c r="W8" s="5">
        <v>14243.097734067298</v>
      </c>
      <c r="X8" s="8">
        <v>18</v>
      </c>
      <c r="Y8" s="5">
        <v>2563.7575921321136</v>
      </c>
      <c r="Z8" s="5">
        <v>16806.855326199413</v>
      </c>
      <c r="AA8" s="6">
        <f t="shared" si="1"/>
        <v>0</v>
      </c>
      <c r="AB8" s="1">
        <v>20995</v>
      </c>
    </row>
    <row r="9" spans="1:28" x14ac:dyDescent="0.25">
      <c r="A9" s="1" t="s">
        <v>28</v>
      </c>
      <c r="B9" s="1" t="s">
        <v>29</v>
      </c>
      <c r="C9" s="1" t="s">
        <v>30</v>
      </c>
      <c r="D9" s="1" t="s">
        <v>38</v>
      </c>
      <c r="E9" s="1">
        <v>8</v>
      </c>
      <c r="F9" s="1">
        <v>315438</v>
      </c>
      <c r="G9" s="1" t="s">
        <v>66</v>
      </c>
      <c r="H9" s="1" t="s">
        <v>79</v>
      </c>
      <c r="I9" s="1" t="s">
        <v>87</v>
      </c>
      <c r="J9" s="1" t="s">
        <v>89</v>
      </c>
      <c r="K9" s="1" t="s">
        <v>97</v>
      </c>
      <c r="L9" s="1">
        <v>1</v>
      </c>
      <c r="M9" s="1" t="s">
        <v>123</v>
      </c>
      <c r="N9" s="3">
        <v>41990</v>
      </c>
      <c r="O9" s="4">
        <v>20941</v>
      </c>
      <c r="P9" s="4">
        <v>22541</v>
      </c>
      <c r="Q9" s="4">
        <f t="shared" si="0"/>
        <v>428279</v>
      </c>
      <c r="R9" s="4">
        <v>0</v>
      </c>
      <c r="S9" s="5">
        <v>20941</v>
      </c>
      <c r="T9" s="5">
        <v>0.74896154479240606</v>
      </c>
      <c r="U9" s="5">
        <v>15684.003709497776</v>
      </c>
      <c r="V9" s="6">
        <v>0</v>
      </c>
      <c r="W9" s="5">
        <v>15684.003709497776</v>
      </c>
      <c r="X9" s="8">
        <v>18</v>
      </c>
      <c r="Y9" s="5">
        <v>2823.1206677095997</v>
      </c>
      <c r="Z9" s="5">
        <v>18507.124377207376</v>
      </c>
      <c r="AA9" s="6">
        <f t="shared" si="1"/>
        <v>0</v>
      </c>
      <c r="AB9" s="1">
        <v>20995</v>
      </c>
    </row>
    <row r="10" spans="1:28" x14ac:dyDescent="0.25">
      <c r="A10" s="1" t="s">
        <v>28</v>
      </c>
      <c r="B10" s="1" t="s">
        <v>29</v>
      </c>
      <c r="C10" s="1" t="s">
        <v>30</v>
      </c>
      <c r="D10" s="1" t="s">
        <v>39</v>
      </c>
      <c r="E10" s="1">
        <v>9</v>
      </c>
      <c r="F10" s="1">
        <v>313620</v>
      </c>
      <c r="G10" s="1" t="s">
        <v>61</v>
      </c>
      <c r="H10" s="1" t="s">
        <v>74</v>
      </c>
      <c r="I10" s="1" t="s">
        <v>87</v>
      </c>
      <c r="J10" s="1" t="s">
        <v>88</v>
      </c>
      <c r="K10" s="1" t="s">
        <v>98</v>
      </c>
      <c r="L10" s="1">
        <v>1</v>
      </c>
      <c r="M10" s="1" t="s">
        <v>121</v>
      </c>
      <c r="N10" s="3">
        <v>53990</v>
      </c>
      <c r="O10" s="4">
        <v>29397.82</v>
      </c>
      <c r="P10" s="4">
        <v>31447.0183044316</v>
      </c>
      <c r="Q10" s="4">
        <f t="shared" si="0"/>
        <v>597493.34778420033</v>
      </c>
      <c r="R10" s="4">
        <v>29000.521469284329</v>
      </c>
      <c r="S10" s="5">
        <v>29000.521469284329</v>
      </c>
      <c r="T10" s="5">
        <v>0.66767186985157112</v>
      </c>
      <c r="U10" s="5">
        <v>19362.832396067701</v>
      </c>
      <c r="V10" s="6">
        <v>0</v>
      </c>
      <c r="W10" s="5">
        <v>19362.832396067701</v>
      </c>
      <c r="X10" s="8">
        <v>18</v>
      </c>
      <c r="Y10" s="5">
        <v>3485.3098312921861</v>
      </c>
      <c r="Z10" s="5">
        <v>22848.142227359887</v>
      </c>
      <c r="AA10" s="6">
        <f t="shared" si="1"/>
        <v>411974.60815859848</v>
      </c>
      <c r="AB10" s="1">
        <v>26995</v>
      </c>
    </row>
    <row r="11" spans="1:28" x14ac:dyDescent="0.25">
      <c r="A11" s="1" t="s">
        <v>28</v>
      </c>
      <c r="B11" s="1" t="s">
        <v>29</v>
      </c>
      <c r="C11" s="1" t="s">
        <v>30</v>
      </c>
      <c r="D11" s="1" t="s">
        <v>40</v>
      </c>
      <c r="E11" s="1">
        <v>10</v>
      </c>
      <c r="F11" s="1">
        <v>310177</v>
      </c>
      <c r="G11" s="1" t="s">
        <v>67</v>
      </c>
      <c r="H11" s="1" t="s">
        <v>80</v>
      </c>
      <c r="I11" s="1" t="s">
        <v>87</v>
      </c>
      <c r="J11" s="1" t="s">
        <v>88</v>
      </c>
      <c r="K11" s="1" t="s">
        <v>99</v>
      </c>
      <c r="L11" s="1">
        <v>1</v>
      </c>
      <c r="M11" s="1" t="s">
        <v>121</v>
      </c>
      <c r="N11" s="3">
        <v>63190</v>
      </c>
      <c r="O11" s="4">
        <v>39125.589999999997</v>
      </c>
      <c r="P11" s="4">
        <v>43629.6015625</v>
      </c>
      <c r="Q11" s="4">
        <f t="shared" si="0"/>
        <v>828962.4296875</v>
      </c>
      <c r="R11" s="4">
        <v>39125.589999999997</v>
      </c>
      <c r="S11" s="5">
        <v>39125.589999999997</v>
      </c>
      <c r="T11" s="5">
        <v>0.66767186985157112</v>
      </c>
      <c r="U11" s="5">
        <v>26123.055834345931</v>
      </c>
      <c r="V11" s="6">
        <v>0</v>
      </c>
      <c r="W11" s="5">
        <v>26123.055834345931</v>
      </c>
      <c r="X11" s="8">
        <v>18</v>
      </c>
      <c r="Y11" s="5">
        <v>4702.1500501822675</v>
      </c>
      <c r="Z11" s="5">
        <v>30825.205884528197</v>
      </c>
      <c r="AA11" s="6">
        <f t="shared" si="1"/>
        <v>555808.95765257266</v>
      </c>
      <c r="AB11" s="1">
        <v>31595</v>
      </c>
    </row>
    <row r="12" spans="1:28" x14ac:dyDescent="0.25">
      <c r="A12" s="1" t="s">
        <v>28</v>
      </c>
      <c r="B12" s="1" t="s">
        <v>29</v>
      </c>
      <c r="C12" s="1" t="s">
        <v>30</v>
      </c>
      <c r="D12" s="1" t="s">
        <v>41</v>
      </c>
      <c r="E12" s="1">
        <v>11</v>
      </c>
      <c r="F12" s="1">
        <v>313625</v>
      </c>
      <c r="G12" s="1" t="s">
        <v>68</v>
      </c>
      <c r="H12" s="1" t="s">
        <v>81</v>
      </c>
      <c r="I12" s="1" t="s">
        <v>87</v>
      </c>
      <c r="J12" s="1" t="s">
        <v>88</v>
      </c>
      <c r="K12" s="1" t="s">
        <v>100</v>
      </c>
      <c r="L12" s="1">
        <v>1</v>
      </c>
      <c r="M12" s="1" t="s">
        <v>122</v>
      </c>
      <c r="N12" s="3">
        <v>57990</v>
      </c>
      <c r="O12" s="4">
        <v>31391.69</v>
      </c>
      <c r="P12" s="4">
        <v>36014.4043715847</v>
      </c>
      <c r="Q12" s="4">
        <f t="shared" si="0"/>
        <v>684273.68306010927</v>
      </c>
      <c r="R12" s="4">
        <v>34098.097149758454</v>
      </c>
      <c r="S12" s="5">
        <v>31391.69</v>
      </c>
      <c r="T12" s="5">
        <v>0.51482022729891641</v>
      </c>
      <c r="U12" s="5">
        <v>16161.076981097121</v>
      </c>
      <c r="V12" s="6">
        <v>0</v>
      </c>
      <c r="W12" s="5">
        <v>16161.076981097121</v>
      </c>
      <c r="X12" s="8">
        <v>18</v>
      </c>
      <c r="Y12" s="5">
        <v>2908.9938565974817</v>
      </c>
      <c r="Z12" s="5">
        <v>19070.070837694602</v>
      </c>
      <c r="AA12" s="6">
        <f t="shared" si="1"/>
        <v>354775.83144084533</v>
      </c>
      <c r="AB12" s="1">
        <v>28995</v>
      </c>
    </row>
    <row r="13" spans="1:28" x14ac:dyDescent="0.25">
      <c r="A13" s="1" t="s">
        <v>28</v>
      </c>
      <c r="B13" s="1" t="s">
        <v>29</v>
      </c>
      <c r="C13" s="1" t="s">
        <v>30</v>
      </c>
      <c r="D13" s="1" t="s">
        <v>42</v>
      </c>
      <c r="E13" s="1">
        <v>12</v>
      </c>
      <c r="F13" s="1">
        <v>313625</v>
      </c>
      <c r="G13" s="1" t="s">
        <v>68</v>
      </c>
      <c r="H13" s="1" t="s">
        <v>81</v>
      </c>
      <c r="I13" s="1" t="s">
        <v>87</v>
      </c>
      <c r="J13" s="1" t="s">
        <v>88</v>
      </c>
      <c r="K13" s="1" t="s">
        <v>101</v>
      </c>
      <c r="L13" s="1">
        <v>1</v>
      </c>
      <c r="M13" s="1" t="s">
        <v>121</v>
      </c>
      <c r="N13" s="3">
        <v>57990</v>
      </c>
      <c r="O13" s="4">
        <v>31391.69</v>
      </c>
      <c r="P13" s="4">
        <v>36014.4043715847</v>
      </c>
      <c r="Q13" s="4">
        <f t="shared" si="0"/>
        <v>684273.68306010927</v>
      </c>
      <c r="R13" s="4">
        <v>34098.097149758454</v>
      </c>
      <c r="S13" s="5">
        <v>31391.69</v>
      </c>
      <c r="T13" s="5">
        <v>0.66767186985157112</v>
      </c>
      <c r="U13" s="5">
        <v>20959.348360100867</v>
      </c>
      <c r="V13" s="6">
        <v>0</v>
      </c>
      <c r="W13" s="5">
        <v>20959.348360100867</v>
      </c>
      <c r="X13" s="8">
        <v>18</v>
      </c>
      <c r="Y13" s="5">
        <v>3772.6827048181558</v>
      </c>
      <c r="Z13" s="5">
        <v>24732.031064919021</v>
      </c>
      <c r="AA13" s="6">
        <f t="shared" si="1"/>
        <v>445942.98764191649</v>
      </c>
      <c r="AB13" s="1">
        <v>28995</v>
      </c>
    </row>
    <row r="14" spans="1:28" x14ac:dyDescent="0.25">
      <c r="A14" s="1" t="s">
        <v>28</v>
      </c>
      <c r="B14" s="1" t="s">
        <v>29</v>
      </c>
      <c r="C14" s="1" t="s">
        <v>30</v>
      </c>
      <c r="D14" s="1" t="s">
        <v>43</v>
      </c>
      <c r="E14" s="1">
        <v>13</v>
      </c>
      <c r="F14" s="1">
        <v>315426</v>
      </c>
      <c r="G14" s="1" t="s">
        <v>62</v>
      </c>
      <c r="H14" s="1" t="s">
        <v>75</v>
      </c>
      <c r="I14" s="1" t="s">
        <v>87</v>
      </c>
      <c r="J14" s="1" t="s">
        <v>89</v>
      </c>
      <c r="K14" s="1" t="s">
        <v>102</v>
      </c>
      <c r="L14" s="1">
        <v>1</v>
      </c>
      <c r="M14" s="1" t="s">
        <v>123</v>
      </c>
      <c r="N14" s="3">
        <v>31990</v>
      </c>
      <c r="O14" s="4">
        <v>16443.5</v>
      </c>
      <c r="P14" s="4">
        <v>23001</v>
      </c>
      <c r="Q14" s="4">
        <f t="shared" si="0"/>
        <v>437019</v>
      </c>
      <c r="R14" s="4">
        <v>23001</v>
      </c>
      <c r="S14" s="5">
        <v>16443.5</v>
      </c>
      <c r="T14" s="5">
        <v>0.74896154479240606</v>
      </c>
      <c r="U14" s="5">
        <v>12315.54916179393</v>
      </c>
      <c r="V14" s="6">
        <v>0</v>
      </c>
      <c r="W14" s="5">
        <v>12315.54916179393</v>
      </c>
      <c r="X14" s="8">
        <v>18</v>
      </c>
      <c r="Y14" s="5">
        <v>2216.7988491229071</v>
      </c>
      <c r="Z14" s="5">
        <v>14532.348010916838</v>
      </c>
      <c r="AA14" s="6">
        <f t="shared" si="1"/>
        <v>258989.55407408468</v>
      </c>
      <c r="AB14" s="1">
        <v>15995</v>
      </c>
    </row>
    <row r="15" spans="1:28" x14ac:dyDescent="0.25">
      <c r="A15" s="1" t="s">
        <v>28</v>
      </c>
      <c r="B15" s="1" t="s">
        <v>29</v>
      </c>
      <c r="C15" s="1" t="s">
        <v>30</v>
      </c>
      <c r="D15" s="1" t="s">
        <v>44</v>
      </c>
      <c r="E15" s="1">
        <v>14</v>
      </c>
      <c r="F15" s="1">
        <v>260549</v>
      </c>
      <c r="G15" s="1" t="s">
        <v>69</v>
      </c>
      <c r="H15" s="1" t="s">
        <v>82</v>
      </c>
      <c r="I15" s="1" t="s">
        <v>87</v>
      </c>
      <c r="J15" s="1" t="s">
        <v>89</v>
      </c>
      <c r="K15" s="1" t="s">
        <v>103</v>
      </c>
      <c r="L15" s="1">
        <v>1</v>
      </c>
      <c r="M15" s="1" t="s">
        <v>123</v>
      </c>
      <c r="N15" s="3">
        <v>22500</v>
      </c>
      <c r="O15" s="4">
        <v>14458.66</v>
      </c>
      <c r="P15" s="4">
        <v>15078.055210489993</v>
      </c>
      <c r="Q15" s="4">
        <f t="shared" si="0"/>
        <v>286483.04899930989</v>
      </c>
      <c r="R15" s="4">
        <v>13666.077137745977</v>
      </c>
      <c r="S15" s="5">
        <v>13666.077137745977</v>
      </c>
      <c r="T15" s="5">
        <v>0.74896154479240606</v>
      </c>
      <c r="U15" s="5">
        <v>10235.366244338409</v>
      </c>
      <c r="V15" s="6">
        <v>0</v>
      </c>
      <c r="W15" s="5">
        <v>10235.366244338409</v>
      </c>
      <c r="X15" s="8">
        <v>18</v>
      </c>
      <c r="Y15" s="5">
        <v>1842.3659239809135</v>
      </c>
      <c r="Z15" s="5">
        <v>12077.732168319322</v>
      </c>
      <c r="AA15" s="6">
        <f t="shared" si="1"/>
        <v>215244.39589180364</v>
      </c>
      <c r="AB15" s="1">
        <v>11250</v>
      </c>
    </row>
    <row r="16" spans="1:28" x14ac:dyDescent="0.25">
      <c r="A16" s="1" t="s">
        <v>28</v>
      </c>
      <c r="B16" s="1" t="s">
        <v>29</v>
      </c>
      <c r="C16" s="1" t="s">
        <v>30</v>
      </c>
      <c r="D16" s="1" t="s">
        <v>45</v>
      </c>
      <c r="E16" s="1">
        <v>15</v>
      </c>
      <c r="F16" s="1">
        <v>310177</v>
      </c>
      <c r="G16" s="1" t="s">
        <v>67</v>
      </c>
      <c r="H16" s="1" t="s">
        <v>80</v>
      </c>
      <c r="I16" s="1" t="s">
        <v>87</v>
      </c>
      <c r="J16" s="1" t="s">
        <v>88</v>
      </c>
      <c r="K16" s="1" t="s">
        <v>104</v>
      </c>
      <c r="L16" s="1">
        <v>1</v>
      </c>
      <c r="M16" s="1" t="s">
        <v>120</v>
      </c>
      <c r="N16" s="3">
        <v>63190</v>
      </c>
      <c r="O16" s="4">
        <v>39125.589999999997</v>
      </c>
      <c r="P16" s="4">
        <v>43629.6015625</v>
      </c>
      <c r="Q16" s="4">
        <f t="shared" si="0"/>
        <v>828962.4296875</v>
      </c>
      <c r="R16" s="4">
        <v>39125.589999999997</v>
      </c>
      <c r="S16" s="5">
        <v>39125.589999999997</v>
      </c>
      <c r="T16" s="5">
        <v>0.61135449032420786</v>
      </c>
      <c r="U16" s="5">
        <v>23919.605133083922</v>
      </c>
      <c r="V16" s="6">
        <v>0</v>
      </c>
      <c r="W16" s="5">
        <v>23919.605133083922</v>
      </c>
      <c r="X16" s="8">
        <v>18</v>
      </c>
      <c r="Y16" s="5">
        <v>4305.5289239551057</v>
      </c>
      <c r="Z16" s="5">
        <v>28225.134057039028</v>
      </c>
      <c r="AA16" s="6">
        <f t="shared" si="1"/>
        <v>513943.3943285945</v>
      </c>
      <c r="AB16" s="1">
        <v>31595</v>
      </c>
    </row>
    <row r="17" spans="1:28" x14ac:dyDescent="0.25">
      <c r="A17" s="1" t="s">
        <v>28</v>
      </c>
      <c r="B17" s="1" t="s">
        <v>29</v>
      </c>
      <c r="C17" s="1" t="s">
        <v>30</v>
      </c>
      <c r="D17" s="1" t="s">
        <v>46</v>
      </c>
      <c r="E17" s="1">
        <v>16</v>
      </c>
      <c r="F17" s="1">
        <v>303545</v>
      </c>
      <c r="G17" s="1" t="s">
        <v>70</v>
      </c>
      <c r="H17" s="1" t="s">
        <v>83</v>
      </c>
      <c r="I17" s="1" t="s">
        <v>87</v>
      </c>
      <c r="J17" s="1" t="s">
        <v>89</v>
      </c>
      <c r="K17" s="1" t="s">
        <v>105</v>
      </c>
      <c r="L17" s="1">
        <v>1</v>
      </c>
      <c r="M17" s="1" t="s">
        <v>121</v>
      </c>
      <c r="N17" s="3">
        <v>49990</v>
      </c>
      <c r="O17" s="4">
        <v>25773</v>
      </c>
      <c r="P17" s="4">
        <v>26827.124513618677</v>
      </c>
      <c r="Q17" s="4">
        <f t="shared" si="0"/>
        <v>509715.3657587549</v>
      </c>
      <c r="R17" s="4">
        <v>24552.700800000002</v>
      </c>
      <c r="S17" s="5">
        <v>24552.700800000002</v>
      </c>
      <c r="T17" s="5">
        <v>0.68015365713515585</v>
      </c>
      <c r="U17" s="5">
        <v>16699.609241665268</v>
      </c>
      <c r="V17" s="6">
        <v>0</v>
      </c>
      <c r="W17" s="5">
        <v>16699.609241665268</v>
      </c>
      <c r="X17" s="8">
        <v>18</v>
      </c>
      <c r="Y17" s="5">
        <v>3005.9296634997481</v>
      </c>
      <c r="Z17" s="5">
        <v>19705.538905165016</v>
      </c>
      <c r="AA17" s="6">
        <f t="shared" si="1"/>
        <v>354612.68080764008</v>
      </c>
      <c r="AB17" s="1">
        <v>24995</v>
      </c>
    </row>
    <row r="18" spans="1:28" x14ac:dyDescent="0.25">
      <c r="A18" s="1" t="s">
        <v>28</v>
      </c>
      <c r="B18" s="1" t="s">
        <v>29</v>
      </c>
      <c r="C18" s="1" t="s">
        <v>30</v>
      </c>
      <c r="D18" s="1" t="s">
        <v>47</v>
      </c>
      <c r="E18" s="1">
        <v>17</v>
      </c>
      <c r="F18" s="1">
        <v>267761</v>
      </c>
      <c r="G18" s="1" t="s">
        <v>71</v>
      </c>
      <c r="H18" s="1" t="s">
        <v>84</v>
      </c>
      <c r="I18" s="1" t="s">
        <v>87</v>
      </c>
      <c r="J18" s="1" t="s">
        <v>88</v>
      </c>
      <c r="K18" s="1" t="s">
        <v>106</v>
      </c>
      <c r="L18" s="1">
        <v>1</v>
      </c>
      <c r="M18" s="1" t="s">
        <v>121</v>
      </c>
      <c r="N18" s="3">
        <v>32990</v>
      </c>
      <c r="O18" s="4">
        <v>18763.54</v>
      </c>
      <c r="P18" s="4">
        <v>20350.537254901959</v>
      </c>
      <c r="Q18" s="4">
        <f t="shared" si="0"/>
        <v>386660.20784313721</v>
      </c>
      <c r="R18" s="4">
        <v>18273.403591711442</v>
      </c>
      <c r="S18" s="5">
        <v>18273.403591711442</v>
      </c>
      <c r="T18" s="5">
        <v>0.66767186985157112</v>
      </c>
      <c r="U18" s="5">
        <v>12200.637544630394</v>
      </c>
      <c r="V18" s="6">
        <v>0</v>
      </c>
      <c r="W18" s="5">
        <v>12200.637544630394</v>
      </c>
      <c r="X18" s="8">
        <v>18</v>
      </c>
      <c r="Y18" s="5">
        <v>2196.1147580334709</v>
      </c>
      <c r="Z18" s="5">
        <v>14396.752302663865</v>
      </c>
      <c r="AA18" s="6">
        <f t="shared" si="1"/>
        <v>259587.68680737886</v>
      </c>
      <c r="AB18" s="1">
        <v>16495</v>
      </c>
    </row>
    <row r="19" spans="1:28" x14ac:dyDescent="0.25">
      <c r="A19" s="1" t="s">
        <v>28</v>
      </c>
      <c r="B19" s="1" t="s">
        <v>29</v>
      </c>
      <c r="C19" s="1" t="s">
        <v>30</v>
      </c>
      <c r="D19" s="1" t="s">
        <v>48</v>
      </c>
      <c r="E19" s="1">
        <v>18</v>
      </c>
      <c r="F19" s="1">
        <v>313620</v>
      </c>
      <c r="G19" s="1" t="s">
        <v>61</v>
      </c>
      <c r="H19" s="1" t="s">
        <v>74</v>
      </c>
      <c r="I19" s="1" t="s">
        <v>87</v>
      </c>
      <c r="J19" s="1" t="s">
        <v>88</v>
      </c>
      <c r="K19" s="1" t="s">
        <v>107</v>
      </c>
      <c r="L19" s="1">
        <v>1</v>
      </c>
      <c r="M19" s="1" t="s">
        <v>120</v>
      </c>
      <c r="N19" s="3">
        <v>53990</v>
      </c>
      <c r="O19" s="4">
        <v>29397.82</v>
      </c>
      <c r="P19" s="4">
        <v>31447.0183044316</v>
      </c>
      <c r="Q19" s="4">
        <f t="shared" si="0"/>
        <v>597493.34778420033</v>
      </c>
      <c r="R19" s="4">
        <v>29000.521469284329</v>
      </c>
      <c r="S19" s="5">
        <v>29000.521469284329</v>
      </c>
      <c r="T19" s="5">
        <v>0.61135449032420786</v>
      </c>
      <c r="U19" s="5">
        <v>17729.599021990569</v>
      </c>
      <c r="V19" s="6">
        <v>0</v>
      </c>
      <c r="W19" s="5">
        <v>17729.599021990569</v>
      </c>
      <c r="X19" s="8">
        <v>18</v>
      </c>
      <c r="Y19" s="5">
        <v>3191.3278239583024</v>
      </c>
      <c r="Z19" s="5">
        <v>20920.92684594887</v>
      </c>
      <c r="AA19" s="6">
        <f t="shared" si="1"/>
        <v>380943.17405113298</v>
      </c>
      <c r="AB19" s="1">
        <v>26995</v>
      </c>
    </row>
    <row r="20" spans="1:28" x14ac:dyDescent="0.25">
      <c r="A20" s="1" t="s">
        <v>28</v>
      </c>
      <c r="B20" s="1" t="s">
        <v>29</v>
      </c>
      <c r="C20" s="1" t="s">
        <v>30</v>
      </c>
      <c r="D20" s="1" t="s">
        <v>49</v>
      </c>
      <c r="E20" s="1">
        <v>19</v>
      </c>
      <c r="F20" s="1">
        <v>313620</v>
      </c>
      <c r="G20" s="1" t="s">
        <v>61</v>
      </c>
      <c r="H20" s="1" t="s">
        <v>74</v>
      </c>
      <c r="I20" s="1" t="s">
        <v>87</v>
      </c>
      <c r="J20" s="1" t="s">
        <v>88</v>
      </c>
      <c r="K20" s="1" t="s">
        <v>108</v>
      </c>
      <c r="L20" s="1">
        <v>1</v>
      </c>
      <c r="M20" s="1" t="s">
        <v>121</v>
      </c>
      <c r="N20" s="3">
        <v>53990</v>
      </c>
      <c r="O20" s="4">
        <v>29397.82</v>
      </c>
      <c r="P20" s="4">
        <v>31447.0183044316</v>
      </c>
      <c r="Q20" s="4">
        <f t="shared" si="0"/>
        <v>597493.34778420033</v>
      </c>
      <c r="R20" s="4">
        <v>29000.521469284329</v>
      </c>
      <c r="S20" s="5">
        <v>29000.521469284329</v>
      </c>
      <c r="T20" s="5">
        <v>0.66767186985157112</v>
      </c>
      <c r="U20" s="5">
        <v>19362.832396067701</v>
      </c>
      <c r="V20" s="6">
        <v>0</v>
      </c>
      <c r="W20" s="5">
        <v>19362.832396067701</v>
      </c>
      <c r="X20" s="8">
        <v>18</v>
      </c>
      <c r="Y20" s="5">
        <v>3485.3098312921861</v>
      </c>
      <c r="Z20" s="5">
        <v>22848.142227359887</v>
      </c>
      <c r="AA20" s="6">
        <f t="shared" si="1"/>
        <v>411974.60815859848</v>
      </c>
      <c r="AB20" s="1">
        <v>26995</v>
      </c>
    </row>
    <row r="21" spans="1:28" x14ac:dyDescent="0.25">
      <c r="A21" s="1" t="s">
        <v>28</v>
      </c>
      <c r="B21" s="1" t="s">
        <v>29</v>
      </c>
      <c r="C21" s="1" t="s">
        <v>30</v>
      </c>
      <c r="D21" s="1" t="s">
        <v>50</v>
      </c>
      <c r="E21" s="1">
        <v>20</v>
      </c>
      <c r="F21" s="1">
        <v>260549</v>
      </c>
      <c r="G21" s="1" t="s">
        <v>69</v>
      </c>
      <c r="H21" s="1" t="s">
        <v>82</v>
      </c>
      <c r="I21" s="1" t="s">
        <v>87</v>
      </c>
      <c r="J21" s="1" t="s">
        <v>89</v>
      </c>
      <c r="K21" s="1" t="s">
        <v>109</v>
      </c>
      <c r="L21" s="1">
        <v>1</v>
      </c>
      <c r="M21" s="1" t="s">
        <v>120</v>
      </c>
      <c r="N21" s="3">
        <v>22500</v>
      </c>
      <c r="O21" s="4">
        <v>14458.66</v>
      </c>
      <c r="P21" s="4">
        <v>15078.055210489993</v>
      </c>
      <c r="Q21" s="4">
        <f t="shared" si="0"/>
        <v>286483.04899930989</v>
      </c>
      <c r="R21" s="4">
        <v>13666.077137745977</v>
      </c>
      <c r="S21" s="5">
        <v>13666.077137745977</v>
      </c>
      <c r="T21" s="5">
        <v>0.6049833230720687</v>
      </c>
      <c r="U21" s="5">
        <v>8267.7487601527864</v>
      </c>
      <c r="V21" s="6">
        <v>0</v>
      </c>
      <c r="W21" s="5">
        <v>8267.7487601527864</v>
      </c>
      <c r="X21" s="8">
        <v>18</v>
      </c>
      <c r="Y21" s="5">
        <v>1488.1947768275015</v>
      </c>
      <c r="Z21" s="5">
        <v>9755.9435369802886</v>
      </c>
      <c r="AA21" s="6">
        <f t="shared" si="1"/>
        <v>177859.66369227684</v>
      </c>
      <c r="AB21" s="1">
        <v>11250</v>
      </c>
    </row>
    <row r="22" spans="1:28" x14ac:dyDescent="0.25">
      <c r="A22" s="1" t="s">
        <v>28</v>
      </c>
      <c r="B22" s="1" t="s">
        <v>29</v>
      </c>
      <c r="C22" s="1" t="s">
        <v>30</v>
      </c>
      <c r="D22" s="1" t="s">
        <v>51</v>
      </c>
      <c r="E22" s="1">
        <v>21</v>
      </c>
      <c r="F22" s="1">
        <v>313703</v>
      </c>
      <c r="G22" s="1" t="s">
        <v>72</v>
      </c>
      <c r="H22" s="1" t="s">
        <v>85</v>
      </c>
      <c r="I22" s="1" t="s">
        <v>87</v>
      </c>
      <c r="J22" s="1" t="s">
        <v>88</v>
      </c>
      <c r="K22" s="1" t="s">
        <v>110</v>
      </c>
      <c r="L22" s="1">
        <v>1</v>
      </c>
      <c r="M22" s="1" t="s">
        <v>121</v>
      </c>
      <c r="N22" s="3">
        <v>56990</v>
      </c>
      <c r="O22" s="4">
        <v>39652.5</v>
      </c>
      <c r="P22" s="4">
        <v>36804.555555555555</v>
      </c>
      <c r="Q22" s="4">
        <f t="shared" si="0"/>
        <v>699286.5555555555</v>
      </c>
      <c r="R22" s="4">
        <v>26073.571836734693</v>
      </c>
      <c r="S22" s="5">
        <v>26073.571836734693</v>
      </c>
      <c r="T22" s="5">
        <v>0.66767186985157112</v>
      </c>
      <c r="U22" s="5">
        <v>17408.590461941916</v>
      </c>
      <c r="V22" s="6">
        <v>0</v>
      </c>
      <c r="W22" s="5">
        <v>17408.590461941916</v>
      </c>
      <c r="X22" s="8">
        <v>18</v>
      </c>
      <c r="Y22" s="5">
        <v>3133.5462831495447</v>
      </c>
      <c r="Z22" s="5">
        <v>20542.136745091462</v>
      </c>
      <c r="AA22" s="6">
        <f t="shared" si="1"/>
        <v>370395.04796873318</v>
      </c>
      <c r="AB22" s="1">
        <v>28495</v>
      </c>
    </row>
    <row r="23" spans="1:28" x14ac:dyDescent="0.25">
      <c r="A23" s="1" t="s">
        <v>28</v>
      </c>
      <c r="B23" s="1" t="s">
        <v>29</v>
      </c>
      <c r="C23" s="1" t="s">
        <v>30</v>
      </c>
      <c r="D23" s="1" t="s">
        <v>52</v>
      </c>
      <c r="E23" s="1">
        <v>22</v>
      </c>
      <c r="F23" s="1">
        <v>313703</v>
      </c>
      <c r="G23" s="1" t="s">
        <v>72</v>
      </c>
      <c r="H23" s="1" t="s">
        <v>85</v>
      </c>
      <c r="I23" s="1" t="s">
        <v>87</v>
      </c>
      <c r="J23" s="1" t="s">
        <v>88</v>
      </c>
      <c r="K23" s="1" t="s">
        <v>111</v>
      </c>
      <c r="L23" s="1">
        <v>1</v>
      </c>
      <c r="M23" s="1" t="s">
        <v>120</v>
      </c>
      <c r="N23" s="3">
        <v>56990</v>
      </c>
      <c r="O23" s="4">
        <v>39652.5</v>
      </c>
      <c r="P23" s="4">
        <v>36804.555555555555</v>
      </c>
      <c r="Q23" s="4">
        <f t="shared" si="0"/>
        <v>699286.5555555555</v>
      </c>
      <c r="R23" s="4">
        <v>26073.571836734693</v>
      </c>
      <c r="S23" s="5">
        <v>26073.571836734693</v>
      </c>
      <c r="T23" s="5">
        <v>0.61135449032420786</v>
      </c>
      <c r="U23" s="5">
        <v>15940.195221178557</v>
      </c>
      <c r="V23" s="6">
        <v>0</v>
      </c>
      <c r="W23" s="5">
        <v>15940.195221178557</v>
      </c>
      <c r="X23" s="8">
        <v>18</v>
      </c>
      <c r="Y23" s="5">
        <v>2869.23513981214</v>
      </c>
      <c r="Z23" s="5">
        <v>18809.430360990696</v>
      </c>
      <c r="AA23" s="6">
        <f t="shared" si="1"/>
        <v>342495.53839422937</v>
      </c>
      <c r="AB23" s="1">
        <v>28495</v>
      </c>
    </row>
    <row r="24" spans="1:28" x14ac:dyDescent="0.25">
      <c r="A24" s="1" t="s">
        <v>28</v>
      </c>
      <c r="B24" s="1" t="s">
        <v>29</v>
      </c>
      <c r="C24" s="1" t="s">
        <v>30</v>
      </c>
      <c r="D24" s="1" t="s">
        <v>53</v>
      </c>
      <c r="E24" s="1">
        <v>23</v>
      </c>
      <c r="F24" s="1">
        <v>315426</v>
      </c>
      <c r="G24" s="1" t="s">
        <v>62</v>
      </c>
      <c r="H24" s="1" t="s">
        <v>75</v>
      </c>
      <c r="I24" s="1" t="s">
        <v>87</v>
      </c>
      <c r="J24" s="1" t="s">
        <v>89</v>
      </c>
      <c r="K24" s="1" t="s">
        <v>112</v>
      </c>
      <c r="L24" s="1">
        <v>1</v>
      </c>
      <c r="M24" s="1" t="s">
        <v>121</v>
      </c>
      <c r="N24" s="3">
        <v>31990</v>
      </c>
      <c r="O24" s="4">
        <v>16443.5</v>
      </c>
      <c r="P24" s="4">
        <v>23001</v>
      </c>
      <c r="Q24" s="4">
        <f t="shared" si="0"/>
        <v>437019</v>
      </c>
      <c r="R24" s="4">
        <v>23001</v>
      </c>
      <c r="S24" s="5">
        <v>16443.5</v>
      </c>
      <c r="T24" s="5">
        <v>0.68015365713515585</v>
      </c>
      <c r="U24" s="5">
        <v>11184.106661101936</v>
      </c>
      <c r="V24" s="6">
        <v>0</v>
      </c>
      <c r="W24" s="5">
        <v>11184.106661101936</v>
      </c>
      <c r="X24" s="8">
        <v>18</v>
      </c>
      <c r="Y24" s="5">
        <v>2013.1391989983483</v>
      </c>
      <c r="Z24" s="5">
        <v>13197.245860100284</v>
      </c>
      <c r="AA24" s="6">
        <f t="shared" si="1"/>
        <v>237492.14656093676</v>
      </c>
      <c r="AB24" s="1">
        <v>15995</v>
      </c>
    </row>
    <row r="25" spans="1:28" x14ac:dyDescent="0.25">
      <c r="A25" s="1" t="s">
        <v>28</v>
      </c>
      <c r="B25" s="1" t="s">
        <v>29</v>
      </c>
      <c r="C25" s="1" t="s">
        <v>30</v>
      </c>
      <c r="D25" s="1" t="s">
        <v>54</v>
      </c>
      <c r="E25" s="1">
        <v>24</v>
      </c>
      <c r="F25" s="1">
        <v>267761</v>
      </c>
      <c r="G25" s="1" t="s">
        <v>71</v>
      </c>
      <c r="H25" s="1" t="s">
        <v>84</v>
      </c>
      <c r="I25" s="1" t="s">
        <v>87</v>
      </c>
      <c r="J25" s="1" t="s">
        <v>88</v>
      </c>
      <c r="K25" s="1" t="s">
        <v>113</v>
      </c>
      <c r="L25" s="1">
        <v>1</v>
      </c>
      <c r="M25" s="1" t="s">
        <v>121</v>
      </c>
      <c r="N25" s="3">
        <v>32990</v>
      </c>
      <c r="O25" s="4">
        <v>18763.54</v>
      </c>
      <c r="P25" s="4">
        <v>20350.537254901959</v>
      </c>
      <c r="Q25" s="4">
        <f t="shared" si="0"/>
        <v>386660.20784313721</v>
      </c>
      <c r="R25" s="4">
        <v>18273.403591711442</v>
      </c>
      <c r="S25" s="5">
        <v>18273.403591711442</v>
      </c>
      <c r="T25" s="5">
        <v>0.66767186985157112</v>
      </c>
      <c r="U25" s="5">
        <v>12200.637544630394</v>
      </c>
      <c r="V25" s="6">
        <v>0</v>
      </c>
      <c r="W25" s="5">
        <v>12200.637544630394</v>
      </c>
      <c r="X25" s="8">
        <v>18</v>
      </c>
      <c r="Y25" s="5">
        <v>2196.1147580334709</v>
      </c>
      <c r="Z25" s="5">
        <v>14396.752302663865</v>
      </c>
      <c r="AA25" s="6">
        <f t="shared" si="1"/>
        <v>259587.68680737886</v>
      </c>
      <c r="AB25" s="1">
        <v>16495</v>
      </c>
    </row>
    <row r="26" spans="1:28" x14ac:dyDescent="0.25">
      <c r="A26" s="1" t="s">
        <v>28</v>
      </c>
      <c r="B26" s="1" t="s">
        <v>29</v>
      </c>
      <c r="C26" s="1" t="s">
        <v>30</v>
      </c>
      <c r="D26" s="1" t="s">
        <v>55</v>
      </c>
      <c r="E26" s="1">
        <v>25</v>
      </c>
      <c r="F26" s="1">
        <v>313620</v>
      </c>
      <c r="G26" s="1" t="s">
        <v>61</v>
      </c>
      <c r="H26" s="1" t="s">
        <v>74</v>
      </c>
      <c r="I26" s="1" t="s">
        <v>87</v>
      </c>
      <c r="J26" s="1" t="s">
        <v>88</v>
      </c>
      <c r="K26" s="1" t="s">
        <v>114</v>
      </c>
      <c r="L26" s="1">
        <v>1</v>
      </c>
      <c r="M26" s="1" t="s">
        <v>121</v>
      </c>
      <c r="N26" s="3">
        <v>53990</v>
      </c>
      <c r="O26" s="4">
        <v>29397.82</v>
      </c>
      <c r="P26" s="4">
        <v>31447.0183044316</v>
      </c>
      <c r="Q26" s="4">
        <f t="shared" si="0"/>
        <v>597493.34778420033</v>
      </c>
      <c r="R26" s="4">
        <v>29000.521469284329</v>
      </c>
      <c r="S26" s="5">
        <v>29000.521469284329</v>
      </c>
      <c r="T26" s="5">
        <v>0.66767186985157112</v>
      </c>
      <c r="U26" s="5">
        <v>19362.832396067701</v>
      </c>
      <c r="V26" s="6">
        <v>0</v>
      </c>
      <c r="W26" s="5">
        <v>19362.832396067701</v>
      </c>
      <c r="X26" s="8">
        <v>18</v>
      </c>
      <c r="Y26" s="5">
        <v>3485.3098312921861</v>
      </c>
      <c r="Z26" s="5">
        <v>22848.142227359887</v>
      </c>
      <c r="AA26" s="6">
        <f t="shared" si="1"/>
        <v>411974.60815859848</v>
      </c>
      <c r="AB26" s="1">
        <v>26995</v>
      </c>
    </row>
    <row r="27" spans="1:28" x14ac:dyDescent="0.25">
      <c r="A27" s="1" t="s">
        <v>28</v>
      </c>
      <c r="B27" s="1" t="s">
        <v>29</v>
      </c>
      <c r="C27" s="1" t="s">
        <v>30</v>
      </c>
      <c r="D27" s="1" t="s">
        <v>56</v>
      </c>
      <c r="E27" s="1">
        <v>26</v>
      </c>
      <c r="F27" s="1">
        <v>267761</v>
      </c>
      <c r="G27" s="1" t="s">
        <v>71</v>
      </c>
      <c r="H27" s="1" t="s">
        <v>84</v>
      </c>
      <c r="I27" s="1" t="s">
        <v>87</v>
      </c>
      <c r="J27" s="1" t="s">
        <v>88</v>
      </c>
      <c r="K27" s="1" t="s">
        <v>115</v>
      </c>
      <c r="L27" s="1">
        <v>1</v>
      </c>
      <c r="M27" s="1" t="s">
        <v>120</v>
      </c>
      <c r="N27" s="3">
        <v>32990</v>
      </c>
      <c r="O27" s="4">
        <v>18763.54</v>
      </c>
      <c r="P27" s="4">
        <v>20350.537254901959</v>
      </c>
      <c r="Q27" s="4">
        <f t="shared" si="0"/>
        <v>386660.20784313721</v>
      </c>
      <c r="R27" s="4">
        <v>18273.403591711442</v>
      </c>
      <c r="S27" s="5">
        <v>18273.403591711442</v>
      </c>
      <c r="T27" s="5">
        <v>0.61135449032420786</v>
      </c>
      <c r="U27" s="5">
        <v>11171.527339299297</v>
      </c>
      <c r="V27" s="6">
        <v>0</v>
      </c>
      <c r="W27" s="5">
        <v>11171.527339299297</v>
      </c>
      <c r="X27" s="8">
        <v>18</v>
      </c>
      <c r="Y27" s="5">
        <v>2010.8749210738733</v>
      </c>
      <c r="Z27" s="5">
        <v>13182.40226037317</v>
      </c>
      <c r="AA27" s="6">
        <f t="shared" si="1"/>
        <v>240034.59290608802</v>
      </c>
      <c r="AB27" s="1">
        <v>16495</v>
      </c>
    </row>
    <row r="28" spans="1:28" x14ac:dyDescent="0.25">
      <c r="A28" s="1" t="s">
        <v>28</v>
      </c>
      <c r="B28" s="1" t="s">
        <v>29</v>
      </c>
      <c r="C28" s="1" t="s">
        <v>30</v>
      </c>
      <c r="D28" s="1" t="s">
        <v>57</v>
      </c>
      <c r="E28" s="1">
        <v>27</v>
      </c>
      <c r="F28" s="1">
        <v>313620</v>
      </c>
      <c r="G28" s="1" t="s">
        <v>61</v>
      </c>
      <c r="H28" s="1" t="s">
        <v>74</v>
      </c>
      <c r="I28" s="1" t="s">
        <v>87</v>
      </c>
      <c r="J28" s="1" t="s">
        <v>88</v>
      </c>
      <c r="K28" s="1" t="s">
        <v>116</v>
      </c>
      <c r="L28" s="1">
        <v>1</v>
      </c>
      <c r="M28" s="1" t="s">
        <v>122</v>
      </c>
      <c r="N28" s="3">
        <v>53990</v>
      </c>
      <c r="O28" s="4">
        <v>29397.82</v>
      </c>
      <c r="P28" s="4">
        <v>31447.0183044316</v>
      </c>
      <c r="Q28" s="4">
        <f t="shared" si="0"/>
        <v>597493.34778420033</v>
      </c>
      <c r="R28" s="4">
        <v>29000.521469284329</v>
      </c>
      <c r="S28" s="5">
        <v>29000.521469284329</v>
      </c>
      <c r="T28" s="5">
        <v>0.51482022729891641</v>
      </c>
      <c r="U28" s="5">
        <v>14930.055054604063</v>
      </c>
      <c r="V28" s="6">
        <v>0</v>
      </c>
      <c r="W28" s="5">
        <v>14930.055054604063</v>
      </c>
      <c r="X28" s="8">
        <v>18</v>
      </c>
      <c r="Y28" s="5">
        <v>2687.4099098287311</v>
      </c>
      <c r="Z28" s="5">
        <v>17617.464964432795</v>
      </c>
      <c r="AA28" s="6">
        <f t="shared" si="1"/>
        <v>327751.83867078944</v>
      </c>
      <c r="AB28" s="1">
        <v>26995</v>
      </c>
    </row>
    <row r="29" spans="1:28" x14ac:dyDescent="0.25">
      <c r="A29" s="1" t="s">
        <v>28</v>
      </c>
      <c r="B29" s="1" t="s">
        <v>29</v>
      </c>
      <c r="C29" s="1" t="s">
        <v>30</v>
      </c>
      <c r="D29" s="1" t="s">
        <v>58</v>
      </c>
      <c r="E29" s="1">
        <v>28</v>
      </c>
      <c r="F29" s="1">
        <v>267761</v>
      </c>
      <c r="G29" s="1" t="s">
        <v>71</v>
      </c>
      <c r="H29" s="1" t="s">
        <v>84</v>
      </c>
      <c r="I29" s="1" t="s">
        <v>87</v>
      </c>
      <c r="J29" s="1" t="s">
        <v>88</v>
      </c>
      <c r="K29" s="1" t="s">
        <v>117</v>
      </c>
      <c r="L29" s="1">
        <v>1</v>
      </c>
      <c r="M29" s="1" t="s">
        <v>120</v>
      </c>
      <c r="N29" s="3">
        <v>32990</v>
      </c>
      <c r="O29" s="4">
        <v>18763.54</v>
      </c>
      <c r="P29" s="4">
        <v>20350.537254901959</v>
      </c>
      <c r="Q29" s="4">
        <f t="shared" si="0"/>
        <v>386660.20784313721</v>
      </c>
      <c r="R29" s="4">
        <v>18273.403591711442</v>
      </c>
      <c r="S29" s="5">
        <v>18273.403591711442</v>
      </c>
      <c r="T29" s="5">
        <v>0.61135449032420786</v>
      </c>
      <c r="U29" s="5">
        <v>11171.527339299297</v>
      </c>
      <c r="V29" s="6">
        <v>0</v>
      </c>
      <c r="W29" s="5">
        <v>11171.527339299297</v>
      </c>
      <c r="X29" s="8">
        <v>18</v>
      </c>
      <c r="Y29" s="5">
        <v>2010.8749210738733</v>
      </c>
      <c r="Z29" s="5">
        <v>13182.40226037317</v>
      </c>
      <c r="AA29" s="6">
        <f t="shared" si="1"/>
        <v>240034.59290608802</v>
      </c>
      <c r="AB29" s="1">
        <v>16495</v>
      </c>
    </row>
    <row r="30" spans="1:28" x14ac:dyDescent="0.25">
      <c r="A30" s="1" t="s">
        <v>28</v>
      </c>
      <c r="B30" s="1" t="s">
        <v>29</v>
      </c>
      <c r="C30" s="1" t="s">
        <v>30</v>
      </c>
      <c r="D30" s="1" t="s">
        <v>59</v>
      </c>
      <c r="E30" s="1">
        <v>29</v>
      </c>
      <c r="F30" s="1">
        <v>315428</v>
      </c>
      <c r="G30" s="1" t="s">
        <v>73</v>
      </c>
      <c r="H30" s="1" t="s">
        <v>86</v>
      </c>
      <c r="I30" s="1" t="s">
        <v>87</v>
      </c>
      <c r="J30" s="1" t="s">
        <v>89</v>
      </c>
      <c r="K30" s="1" t="s">
        <v>118</v>
      </c>
      <c r="L30" s="1">
        <v>1</v>
      </c>
      <c r="M30" s="1" t="s">
        <v>121</v>
      </c>
      <c r="N30" s="3">
        <v>29900</v>
      </c>
      <c r="O30" s="4">
        <v>15989</v>
      </c>
      <c r="P30" s="4">
        <v>22541</v>
      </c>
      <c r="Q30" s="4">
        <f t="shared" si="0"/>
        <v>428279</v>
      </c>
      <c r="R30" s="4">
        <v>37990</v>
      </c>
      <c r="S30" s="5">
        <v>15989</v>
      </c>
      <c r="T30" s="5">
        <v>0.68015365713515585</v>
      </c>
      <c r="U30" s="5">
        <v>10874.976823934006</v>
      </c>
      <c r="V30" s="6">
        <v>0</v>
      </c>
      <c r="W30" s="5">
        <v>10874.976823934006</v>
      </c>
      <c r="X30" s="8">
        <v>18</v>
      </c>
      <c r="Y30" s="5">
        <v>1957.4958283081212</v>
      </c>
      <c r="Z30" s="5">
        <v>12832.472652242128</v>
      </c>
      <c r="AA30" s="6">
        <f t="shared" si="1"/>
        <v>230927.83965474612</v>
      </c>
      <c r="AB30" s="1">
        <v>14950</v>
      </c>
    </row>
    <row r="31" spans="1:28" x14ac:dyDescent="0.25">
      <c r="A31" s="1" t="s">
        <v>28</v>
      </c>
      <c r="B31" s="1" t="s">
        <v>29</v>
      </c>
      <c r="C31" s="1" t="s">
        <v>30</v>
      </c>
      <c r="D31" s="1" t="s">
        <v>60</v>
      </c>
      <c r="E31" s="1">
        <v>30</v>
      </c>
      <c r="F31" s="1">
        <v>267761</v>
      </c>
      <c r="G31" s="1" t="s">
        <v>71</v>
      </c>
      <c r="H31" s="1" t="s">
        <v>84</v>
      </c>
      <c r="I31" s="1" t="s">
        <v>87</v>
      </c>
      <c r="J31" s="1" t="s">
        <v>88</v>
      </c>
      <c r="K31" s="1" t="s">
        <v>119</v>
      </c>
      <c r="L31" s="1">
        <v>1</v>
      </c>
      <c r="M31" s="1" t="s">
        <v>121</v>
      </c>
      <c r="N31" s="3">
        <v>32990</v>
      </c>
      <c r="O31" s="4">
        <v>18763.54</v>
      </c>
      <c r="P31" s="4">
        <v>20350.537254901959</v>
      </c>
      <c r="Q31" s="4">
        <f t="shared" si="0"/>
        <v>386660.20784313721</v>
      </c>
      <c r="R31" s="4">
        <v>18273.403591711442</v>
      </c>
      <c r="S31" s="5">
        <v>18273.403591711442</v>
      </c>
      <c r="T31" s="5">
        <v>0.66767186985157112</v>
      </c>
      <c r="U31" s="5">
        <v>12200.637544630394</v>
      </c>
      <c r="V31" s="6">
        <v>0</v>
      </c>
      <c r="W31" s="5">
        <v>12200.637544630394</v>
      </c>
      <c r="X31" s="8">
        <v>18</v>
      </c>
      <c r="Y31" s="5">
        <v>2196.1147580334709</v>
      </c>
      <c r="Z31" s="5">
        <v>14396.752302663865</v>
      </c>
      <c r="AA31" s="6">
        <f t="shared" si="1"/>
        <v>259587.68680737886</v>
      </c>
      <c r="AB31" s="1">
        <v>16495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Divakar</dc:creator>
  <cp:lastModifiedBy>Mohit Diwakar</cp:lastModifiedBy>
  <dcterms:created xsi:type="dcterms:W3CDTF">2015-06-05T18:17:20Z</dcterms:created>
  <dcterms:modified xsi:type="dcterms:W3CDTF">2025-09-08T11:05:40Z</dcterms:modified>
</cp:coreProperties>
</file>