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J:\Mohit E Drive Data\"/>
    </mc:Choice>
  </mc:AlternateContent>
  <xr:revisionPtr revIDLastSave="0" documentId="13_ncr:1_{609EAB42-5A2A-41D7-8A3F-9E3CC3B718FA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Sheet1!$A$1:$U$15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I4" i="1" s="1"/>
  <c r="G5" i="1"/>
  <c r="I5" i="1" s="1"/>
  <c r="G6" i="1"/>
  <c r="I6" i="1" s="1"/>
  <c r="G7" i="1"/>
  <c r="I7" i="1" s="1"/>
  <c r="G8" i="1"/>
  <c r="I8" i="1" s="1"/>
  <c r="G9" i="1"/>
  <c r="I9" i="1" s="1"/>
  <c r="G10" i="1"/>
  <c r="I10" i="1" s="1"/>
  <c r="G11" i="1"/>
  <c r="I11" i="1" s="1"/>
  <c r="G12" i="1"/>
  <c r="I12" i="1" s="1"/>
  <c r="G13" i="1"/>
  <c r="I13" i="1" s="1"/>
  <c r="G14" i="1"/>
  <c r="I14" i="1" s="1"/>
  <c r="G15" i="1"/>
  <c r="I15" i="1" s="1"/>
  <c r="G3" i="1"/>
  <c r="I3" i="1" s="1"/>
  <c r="J15" i="1" l="1"/>
  <c r="R15" i="1" s="1"/>
  <c r="J14" i="1"/>
  <c r="R14" i="1" s="1"/>
  <c r="J13" i="1"/>
  <c r="R13" i="1" s="1"/>
  <c r="J12" i="1"/>
  <c r="R12" i="1" s="1"/>
  <c r="J11" i="1"/>
  <c r="R11" i="1" s="1"/>
  <c r="J10" i="1"/>
  <c r="R10" i="1" s="1"/>
  <c r="J9" i="1"/>
  <c r="R9" i="1" s="1"/>
  <c r="J8" i="1"/>
  <c r="R8" i="1" s="1"/>
  <c r="J7" i="1"/>
  <c r="R7" i="1" s="1"/>
  <c r="J6" i="1"/>
  <c r="R6" i="1" s="1"/>
  <c r="J5" i="1"/>
  <c r="R5" i="1" s="1"/>
  <c r="J4" i="1"/>
  <c r="R4" i="1" s="1"/>
  <c r="J3" i="1"/>
  <c r="R3" i="1" s="1"/>
  <c r="G2" i="1"/>
  <c r="I2" i="1" l="1"/>
  <c r="J2" i="1" s="1"/>
  <c r="R2" i="1" s="1"/>
</calcChain>
</file>

<file path=xl/sharedStrings.xml><?xml version="1.0" encoding="utf-8"?>
<sst xmlns="http://schemas.openxmlformats.org/spreadsheetml/2006/main" count="171" uniqueCount="78">
  <si>
    <t>Vendor Code</t>
  </si>
  <si>
    <t>Tran Code</t>
  </si>
  <si>
    <t>Item Code</t>
  </si>
  <si>
    <t>Rate</t>
  </si>
  <si>
    <t>Discount</t>
  </si>
  <si>
    <t>Net Amount</t>
  </si>
  <si>
    <t>Tax Rate</t>
  </si>
  <si>
    <t>Tax Amount</t>
  </si>
  <si>
    <t>Total Amount</t>
  </si>
  <si>
    <t>Plant</t>
  </si>
  <si>
    <t>Location</t>
  </si>
  <si>
    <t>Job ID</t>
  </si>
  <si>
    <t>Qty</t>
  </si>
  <si>
    <t>Remarks</t>
  </si>
  <si>
    <t>Bill No</t>
  </si>
  <si>
    <t>Bill Date</t>
  </si>
  <si>
    <t>Bill Amount</t>
  </si>
  <si>
    <t>MPSP000853</t>
  </si>
  <si>
    <t>MPST001273</t>
  </si>
  <si>
    <t>MPST001274</t>
  </si>
  <si>
    <t>MPST001275</t>
  </si>
  <si>
    <t>MPSUP00900</t>
  </si>
  <si>
    <t>MS01</t>
  </si>
  <si>
    <t>0000000000</t>
  </si>
  <si>
    <t>TEST AUTO PR PO</t>
  </si>
  <si>
    <t>Pay Terms</t>
  </si>
  <si>
    <t>Department</t>
  </si>
  <si>
    <t>1 - WORKSHOP - 1</t>
  </si>
  <si>
    <t>2 - CALL CENTER</t>
  </si>
  <si>
    <t>3 - ACCOUNT</t>
  </si>
  <si>
    <t>4 - HUMAN RESOURCE</t>
  </si>
  <si>
    <t>5 - PURCHASE</t>
  </si>
  <si>
    <t>6 - MARKETING</t>
  </si>
  <si>
    <t>7 - QUALITY</t>
  </si>
  <si>
    <t>8 - SECURITY</t>
  </si>
  <si>
    <t>10 - IT</t>
  </si>
  <si>
    <t>12 - ADMIN OFFICE</t>
  </si>
  <si>
    <t>13 - JAMNAGAR CENTER - SAMSUNG</t>
  </si>
  <si>
    <t>14 - RAJKOT CENTER - SAMSUNG</t>
  </si>
  <si>
    <t>15 - STORE</t>
  </si>
  <si>
    <t>16 - LOGISTICS</t>
  </si>
  <si>
    <t>17 - JIO</t>
  </si>
  <si>
    <t>18 - SMART PHONE</t>
  </si>
  <si>
    <t>20 - AHMEDABAD CENTER - SAMSUNG</t>
  </si>
  <si>
    <t>21 - LARGE APPLIANCES</t>
  </si>
  <si>
    <t>22 - TATA SKY</t>
  </si>
  <si>
    <t>23 - LED</t>
  </si>
  <si>
    <t>24 - INDUSTRIAL INSTRUMENTS</t>
  </si>
  <si>
    <t>25 - MAINTENANCE</t>
  </si>
  <si>
    <t>26 - SIGNIFY</t>
  </si>
  <si>
    <t>27 - BARODA CENTER - SAMSUNG</t>
  </si>
  <si>
    <t>28 - SMART PHONE - BANGALORE</t>
  </si>
  <si>
    <t>29 - JIO ONT</t>
  </si>
  <si>
    <t>30 - JIO STB</t>
  </si>
  <si>
    <t>31 - DIGITAL MARKETING</t>
  </si>
  <si>
    <t>32 - SMART PHONE - SURAT</t>
  </si>
  <si>
    <t>33 - CORPORATE SALES</t>
  </si>
  <si>
    <t>34 - SURAT CENTER - SAMSUNG</t>
  </si>
  <si>
    <t>35 - CROMA AHD</t>
  </si>
  <si>
    <t>36 - CROMA WORKSHOP AHD</t>
  </si>
  <si>
    <t>ADV - 100% ADVANCE</t>
  </si>
  <si>
    <t>D15 - 15 DAYS</t>
  </si>
  <si>
    <t>D30 - 30 DAYS</t>
  </si>
  <si>
    <t>D60 - 60 DAYS</t>
  </si>
  <si>
    <t>D90 - 90 DAYS</t>
  </si>
  <si>
    <t>EXCH - EXCHANGE</t>
  </si>
  <si>
    <t>IN10 - IN 10 DAYS</t>
  </si>
  <si>
    <t>INS - IMMEDIATELY</t>
  </si>
  <si>
    <t>ONS - ON SALES</t>
  </si>
  <si>
    <t>OTHR - OTHER</t>
  </si>
  <si>
    <t>Purchase Type</t>
  </si>
  <si>
    <t>12388 - NORMAL</t>
  </si>
  <si>
    <t>12389 - BKB</t>
  </si>
  <si>
    <t>12391 - FRANCHISE</t>
  </si>
  <si>
    <t>IMEI</t>
  </si>
  <si>
    <t>1205/21-22</t>
  </si>
  <si>
    <t>NE/21-22/65</t>
  </si>
  <si>
    <t>0821*21/22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</si>
</sst>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"/>
  <sheetViews>
    <sheetView tabSelected="1" workbookViewId="0">
      <selection activeCell="O27" sqref="O27"/>
    </sheetView>
  </sheetViews>
  <sheetFormatPr defaultRowHeight="15" x14ac:dyDescent="0.25"/>
  <cols>
    <col min="1" max="1" width="12.5703125" bestFit="1" customWidth="1"/>
    <col min="2" max="2" width="9.85546875" bestFit="1" customWidth="1"/>
    <col min="3" max="3" width="12.28515625" bestFit="1" customWidth="1"/>
    <col min="4" max="4" width="4.140625" bestFit="1" customWidth="1"/>
    <col min="5" max="5" width="5" bestFit="1" customWidth="1"/>
    <col min="6" max="6" width="8.7109375" bestFit="1" customWidth="1"/>
    <col min="7" max="7" width="11.85546875" bestFit="1" customWidth="1"/>
    <col min="8" max="8" width="8.42578125" bestFit="1" customWidth="1"/>
    <col min="9" max="9" width="11.5703125" bestFit="1" customWidth="1"/>
    <col min="10" max="10" width="13.140625" bestFit="1" customWidth="1"/>
    <col min="11" max="11" width="5.5703125" bestFit="1" customWidth="1"/>
    <col min="12" max="12" width="8.42578125" bestFit="1" customWidth="1"/>
    <col min="13" max="13" width="11" bestFit="1" customWidth="1"/>
    <col min="14" max="14" width="11" customWidth="1"/>
    <col min="15" max="15" width="16.28515625" bestFit="1" customWidth="1"/>
    <col min="16" max="16" width="10.140625" bestFit="1" customWidth="1"/>
    <col min="17" max="17" width="10.42578125" bestFit="1" customWidth="1"/>
    <col min="18" max="18" width="11.42578125" bestFit="1" customWidth="1"/>
    <col min="19" max="19" width="20.42578125" bestFit="1" customWidth="1"/>
    <col min="20" max="20" width="28.28515625" customWidth="1"/>
    <col min="21" max="21" width="22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74</v>
      </c>
      <c r="O1" t="s">
        <v>13</v>
      </c>
      <c r="P1" t="s">
        <v>14</v>
      </c>
      <c r="Q1" t="s">
        <v>15</v>
      </c>
      <c r="R1" t="s">
        <v>16</v>
      </c>
      <c r="S1" t="s">
        <v>25</v>
      </c>
      <c r="T1" t="s">
        <v>26</v>
      </c>
      <c r="U1" t="s">
        <v>70</v>
      </c>
    </row>
    <row r="2" spans="1:21" x14ac:dyDescent="0.25">
      <c r="A2">
        <v>10101</v>
      </c>
      <c r="B2">
        <v>10101</v>
      </c>
      <c r="C2" t="s">
        <v>17</v>
      </c>
      <c r="D2">
        <v>2</v>
      </c>
      <c r="E2">
        <v>100</v>
      </c>
      <c r="F2">
        <v>0</v>
      </c>
      <c r="G2">
        <f t="shared" ref="G2:G9" si="0">(E2*D2)-F2</f>
        <v>200</v>
      </c>
      <c r="H2">
        <v>0</v>
      </c>
      <c r="I2">
        <f t="shared" ref="I2:I9" si="1">G2*H2/100</f>
        <v>0</v>
      </c>
      <c r="J2">
        <f t="shared" ref="J2:J9" si="2">G2+I2</f>
        <v>200</v>
      </c>
      <c r="K2">
        <v>1001</v>
      </c>
      <c r="L2" t="s">
        <v>22</v>
      </c>
      <c r="M2" s="1" t="s">
        <v>23</v>
      </c>
      <c r="N2" s="1"/>
      <c r="O2" t="s">
        <v>24</v>
      </c>
      <c r="P2" s="3">
        <v>123456</v>
      </c>
      <c r="Q2" s="2">
        <v>45504</v>
      </c>
      <c r="R2">
        <f t="shared" ref="R2:R9" si="3">J2</f>
        <v>200</v>
      </c>
      <c r="S2" t="s">
        <v>60</v>
      </c>
      <c r="T2" t="s">
        <v>32</v>
      </c>
      <c r="U2" t="s">
        <v>71</v>
      </c>
    </row>
    <row r="3" spans="1:21" x14ac:dyDescent="0.25">
      <c r="A3">
        <v>10101</v>
      </c>
      <c r="B3">
        <v>10101</v>
      </c>
      <c r="C3" t="s">
        <v>18</v>
      </c>
      <c r="D3">
        <v>1</v>
      </c>
      <c r="E3">
        <v>200</v>
      </c>
      <c r="F3">
        <v>0</v>
      </c>
      <c r="G3">
        <f t="shared" si="0"/>
        <v>200</v>
      </c>
      <c r="H3">
        <v>0</v>
      </c>
      <c r="I3">
        <f t="shared" si="1"/>
        <v>0</v>
      </c>
      <c r="J3">
        <f t="shared" si="2"/>
        <v>200</v>
      </c>
      <c r="K3">
        <v>1001</v>
      </c>
      <c r="L3" t="s">
        <v>22</v>
      </c>
      <c r="M3" s="1" t="s">
        <v>23</v>
      </c>
      <c r="N3" s="1"/>
      <c r="O3" t="s">
        <v>24</v>
      </c>
      <c r="P3" s="3">
        <v>123456</v>
      </c>
      <c r="Q3" s="2">
        <v>45504</v>
      </c>
      <c r="R3">
        <f t="shared" si="3"/>
        <v>200</v>
      </c>
      <c r="S3" t="s">
        <v>60</v>
      </c>
      <c r="T3" t="s">
        <v>32</v>
      </c>
      <c r="U3" t="s">
        <v>71</v>
      </c>
    </row>
    <row r="4" spans="1:21" x14ac:dyDescent="0.25">
      <c r="A4">
        <v>10101</v>
      </c>
      <c r="B4">
        <v>10101</v>
      </c>
      <c r="C4" t="s">
        <v>19</v>
      </c>
      <c r="D4">
        <v>1</v>
      </c>
      <c r="E4">
        <v>300</v>
      </c>
      <c r="F4">
        <v>0</v>
      </c>
      <c r="G4">
        <f t="shared" si="0"/>
        <v>300</v>
      </c>
      <c r="H4">
        <v>0</v>
      </c>
      <c r="I4">
        <f t="shared" si="1"/>
        <v>0</v>
      </c>
      <c r="J4">
        <f t="shared" si="2"/>
        <v>300</v>
      </c>
      <c r="K4">
        <v>1001</v>
      </c>
      <c r="L4" t="s">
        <v>22</v>
      </c>
      <c r="M4" s="1" t="s">
        <v>23</v>
      </c>
      <c r="N4" s="1"/>
      <c r="O4" t="s">
        <v>24</v>
      </c>
      <c r="P4" s="3">
        <v>123456</v>
      </c>
      <c r="Q4" s="2">
        <v>45504</v>
      </c>
      <c r="R4">
        <f t="shared" si="3"/>
        <v>300</v>
      </c>
      <c r="S4" t="s">
        <v>60</v>
      </c>
      <c r="T4" t="s">
        <v>32</v>
      </c>
      <c r="U4" t="s">
        <v>71</v>
      </c>
    </row>
    <row r="5" spans="1:21" x14ac:dyDescent="0.25">
      <c r="A5">
        <v>10101</v>
      </c>
      <c r="B5">
        <v>10101</v>
      </c>
      <c r="C5" t="s">
        <v>20</v>
      </c>
      <c r="D5">
        <v>1</v>
      </c>
      <c r="E5">
        <v>400</v>
      </c>
      <c r="F5">
        <v>0</v>
      </c>
      <c r="G5">
        <f t="shared" si="0"/>
        <v>400</v>
      </c>
      <c r="H5">
        <v>0</v>
      </c>
      <c r="I5">
        <f t="shared" si="1"/>
        <v>0</v>
      </c>
      <c r="J5">
        <f t="shared" si="2"/>
        <v>400</v>
      </c>
      <c r="K5">
        <v>1001</v>
      </c>
      <c r="L5" t="s">
        <v>22</v>
      </c>
      <c r="M5" s="1" t="s">
        <v>23</v>
      </c>
      <c r="N5" s="1"/>
      <c r="O5" t="s">
        <v>24</v>
      </c>
      <c r="P5" s="3">
        <v>123456</v>
      </c>
      <c r="Q5" s="2">
        <v>45504</v>
      </c>
      <c r="R5">
        <f t="shared" si="3"/>
        <v>400</v>
      </c>
      <c r="S5" t="s">
        <v>60</v>
      </c>
      <c r="T5" t="s">
        <v>32</v>
      </c>
      <c r="U5" t="s">
        <v>71</v>
      </c>
    </row>
    <row r="6" spans="1:21" x14ac:dyDescent="0.25">
      <c r="A6">
        <v>10101</v>
      </c>
      <c r="B6">
        <v>10101</v>
      </c>
      <c r="C6" t="s">
        <v>21</v>
      </c>
      <c r="D6">
        <v>2</v>
      </c>
      <c r="E6">
        <v>500</v>
      </c>
      <c r="F6">
        <v>0</v>
      </c>
      <c r="G6">
        <f t="shared" si="0"/>
        <v>1000</v>
      </c>
      <c r="H6">
        <v>0</v>
      </c>
      <c r="I6">
        <f t="shared" si="1"/>
        <v>0</v>
      </c>
      <c r="J6">
        <f t="shared" si="2"/>
        <v>1000</v>
      </c>
      <c r="K6">
        <v>1001</v>
      </c>
      <c r="L6" t="s">
        <v>22</v>
      </c>
      <c r="M6" s="1" t="s">
        <v>23</v>
      </c>
      <c r="N6" s="1"/>
      <c r="O6" t="s">
        <v>24</v>
      </c>
      <c r="P6" s="3">
        <v>123456</v>
      </c>
      <c r="Q6" s="2">
        <v>45504</v>
      </c>
      <c r="R6">
        <f t="shared" si="3"/>
        <v>1000</v>
      </c>
      <c r="S6" t="s">
        <v>60</v>
      </c>
      <c r="T6" t="s">
        <v>32</v>
      </c>
      <c r="U6" t="s">
        <v>71</v>
      </c>
    </row>
    <row r="7" spans="1:21" x14ac:dyDescent="0.25">
      <c r="A7">
        <v>10101</v>
      </c>
      <c r="B7">
        <v>10101</v>
      </c>
      <c r="C7" t="s">
        <v>17</v>
      </c>
      <c r="D7">
        <v>2</v>
      </c>
      <c r="E7">
        <v>120</v>
      </c>
      <c r="F7">
        <v>0</v>
      </c>
      <c r="G7">
        <f t="shared" si="0"/>
        <v>240</v>
      </c>
      <c r="H7">
        <v>0</v>
      </c>
      <c r="I7">
        <f t="shared" si="1"/>
        <v>0</v>
      </c>
      <c r="J7">
        <f t="shared" si="2"/>
        <v>240</v>
      </c>
      <c r="K7">
        <v>1001</v>
      </c>
      <c r="L7" t="s">
        <v>22</v>
      </c>
      <c r="M7" s="1" t="s">
        <v>23</v>
      </c>
      <c r="O7" t="s">
        <v>24</v>
      </c>
      <c r="P7" s="3">
        <v>456789</v>
      </c>
      <c r="Q7" s="2">
        <v>45504</v>
      </c>
      <c r="R7">
        <f t="shared" si="3"/>
        <v>240</v>
      </c>
      <c r="S7" t="s">
        <v>60</v>
      </c>
      <c r="T7" t="s">
        <v>32</v>
      </c>
      <c r="U7" t="s">
        <v>71</v>
      </c>
    </row>
    <row r="8" spans="1:21" x14ac:dyDescent="0.25">
      <c r="A8">
        <v>10101</v>
      </c>
      <c r="B8">
        <v>10101</v>
      </c>
      <c r="C8" t="s">
        <v>18</v>
      </c>
      <c r="D8">
        <v>1</v>
      </c>
      <c r="E8">
        <v>560</v>
      </c>
      <c r="F8">
        <v>0</v>
      </c>
      <c r="G8">
        <f t="shared" si="0"/>
        <v>560</v>
      </c>
      <c r="H8">
        <v>0</v>
      </c>
      <c r="I8">
        <f t="shared" si="1"/>
        <v>0</v>
      </c>
      <c r="J8">
        <f t="shared" si="2"/>
        <v>560</v>
      </c>
      <c r="K8">
        <v>1001</v>
      </c>
      <c r="L8" t="s">
        <v>22</v>
      </c>
      <c r="M8" s="1" t="s">
        <v>23</v>
      </c>
      <c r="O8" t="s">
        <v>24</v>
      </c>
      <c r="P8" s="3">
        <v>456789</v>
      </c>
      <c r="Q8" s="2">
        <v>45504</v>
      </c>
      <c r="R8">
        <f t="shared" si="3"/>
        <v>560</v>
      </c>
      <c r="S8" t="s">
        <v>60</v>
      </c>
      <c r="T8" t="s">
        <v>32</v>
      </c>
      <c r="U8" t="s">
        <v>71</v>
      </c>
    </row>
    <row r="9" spans="1:21" x14ac:dyDescent="0.25">
      <c r="A9">
        <v>10101</v>
      </c>
      <c r="B9">
        <v>10101</v>
      </c>
      <c r="C9" t="s">
        <v>19</v>
      </c>
      <c r="D9">
        <v>2</v>
      </c>
      <c r="E9">
        <v>362</v>
      </c>
      <c r="F9">
        <v>0</v>
      </c>
      <c r="G9">
        <f t="shared" si="0"/>
        <v>724</v>
      </c>
      <c r="H9">
        <v>0</v>
      </c>
      <c r="I9">
        <f t="shared" si="1"/>
        <v>0</v>
      </c>
      <c r="J9">
        <f t="shared" si="2"/>
        <v>724</v>
      </c>
      <c r="K9">
        <v>1001</v>
      </c>
      <c r="L9" t="s">
        <v>22</v>
      </c>
      <c r="M9" s="1" t="s">
        <v>23</v>
      </c>
      <c r="O9" t="s">
        <v>24</v>
      </c>
      <c r="P9" s="3">
        <v>456789</v>
      </c>
      <c r="Q9" s="2">
        <v>45504</v>
      </c>
      <c r="R9">
        <f t="shared" si="3"/>
        <v>724</v>
      </c>
      <c r="S9" t="s">
        <v>60</v>
      </c>
      <c r="T9" t="s">
        <v>32</v>
      </c>
      <c r="U9" t="s">
        <v>71</v>
      </c>
    </row>
    <row r="10" spans="1:21" x14ac:dyDescent="0.25">
      <c r="A10">
        <v>10101</v>
      </c>
      <c r="B10">
        <v>10101</v>
      </c>
      <c r="C10" t="s">
        <v>17</v>
      </c>
      <c r="D10">
        <v>1</v>
      </c>
      <c r="E10">
        <v>455</v>
      </c>
      <c r="F10">
        <v>0</v>
      </c>
      <c r="G10">
        <f t="shared" ref="G10:G15" si="4">(E10*D10)-F10</f>
        <v>455</v>
      </c>
      <c r="H10">
        <v>0</v>
      </c>
      <c r="I10">
        <f t="shared" ref="I10:I15" si="5">G10*H10/100</f>
        <v>0</v>
      </c>
      <c r="J10">
        <f t="shared" ref="J10:J15" si="6">G10+I10</f>
        <v>455</v>
      </c>
      <c r="K10">
        <v>1001</v>
      </c>
      <c r="L10" t="s">
        <v>22</v>
      </c>
      <c r="M10" s="1" t="s">
        <v>23</v>
      </c>
      <c r="O10" t="s">
        <v>24</v>
      </c>
      <c r="P10" s="3" t="s">
        <v>75</v>
      </c>
      <c r="Q10" s="2">
        <v>45504</v>
      </c>
      <c r="R10">
        <f t="shared" ref="R10:R15" si="7">J10</f>
        <v>455</v>
      </c>
      <c r="S10" t="s">
        <v>60</v>
      </c>
      <c r="T10" t="s">
        <v>32</v>
      </c>
      <c r="U10" t="s">
        <v>71</v>
      </c>
    </row>
    <row r="11" spans="1:21" x14ac:dyDescent="0.25">
      <c r="A11">
        <v>10101</v>
      </c>
      <c r="B11">
        <v>10101</v>
      </c>
      <c r="C11" t="s">
        <v>18</v>
      </c>
      <c r="D11">
        <v>2</v>
      </c>
      <c r="E11">
        <v>652</v>
      </c>
      <c r="F11">
        <v>0</v>
      </c>
      <c r="G11">
        <f t="shared" si="4"/>
        <v>1304</v>
      </c>
      <c r="H11">
        <v>0</v>
      </c>
      <c r="I11">
        <f t="shared" si="5"/>
        <v>0</v>
      </c>
      <c r="J11">
        <f t="shared" si="6"/>
        <v>1304</v>
      </c>
      <c r="K11">
        <v>1001</v>
      </c>
      <c r="L11" t="s">
        <v>22</v>
      </c>
      <c r="M11" s="1" t="s">
        <v>23</v>
      </c>
      <c r="O11" t="s">
        <v>24</v>
      </c>
      <c r="P11" s="3" t="s">
        <v>75</v>
      </c>
      <c r="Q11" s="2">
        <v>45504</v>
      </c>
      <c r="R11">
        <f t="shared" si="7"/>
        <v>1304</v>
      </c>
      <c r="S11" t="s">
        <v>60</v>
      </c>
      <c r="T11" t="s">
        <v>32</v>
      </c>
      <c r="U11" t="s">
        <v>71</v>
      </c>
    </row>
    <row r="12" spans="1:21" x14ac:dyDescent="0.25">
      <c r="A12">
        <v>10101</v>
      </c>
      <c r="B12">
        <v>10101</v>
      </c>
      <c r="C12" t="s">
        <v>17</v>
      </c>
      <c r="D12">
        <v>1</v>
      </c>
      <c r="E12">
        <v>10</v>
      </c>
      <c r="F12">
        <v>0</v>
      </c>
      <c r="G12">
        <f t="shared" si="4"/>
        <v>10</v>
      </c>
      <c r="H12">
        <v>0</v>
      </c>
      <c r="I12">
        <f t="shared" si="5"/>
        <v>0</v>
      </c>
      <c r="J12">
        <f t="shared" si="6"/>
        <v>10</v>
      </c>
      <c r="K12">
        <v>1001</v>
      </c>
      <c r="L12" t="s">
        <v>22</v>
      </c>
      <c r="M12" s="1" t="s">
        <v>23</v>
      </c>
      <c r="O12" t="s">
        <v>24</v>
      </c>
      <c r="P12" s="3" t="s">
        <v>76</v>
      </c>
      <c r="Q12" s="2">
        <v>45504</v>
      </c>
      <c r="R12">
        <f t="shared" si="7"/>
        <v>10</v>
      </c>
      <c r="S12" t="s">
        <v>60</v>
      </c>
      <c r="T12" t="s">
        <v>32</v>
      </c>
      <c r="U12" t="s">
        <v>71</v>
      </c>
    </row>
    <row r="13" spans="1:21" x14ac:dyDescent="0.25">
      <c r="A13">
        <v>10101</v>
      </c>
      <c r="B13">
        <v>10101</v>
      </c>
      <c r="C13" t="s">
        <v>18</v>
      </c>
      <c r="D13">
        <v>2</v>
      </c>
      <c r="E13">
        <v>28</v>
      </c>
      <c r="F13">
        <v>0</v>
      </c>
      <c r="G13">
        <f t="shared" si="4"/>
        <v>56</v>
      </c>
      <c r="H13">
        <v>0</v>
      </c>
      <c r="I13">
        <f t="shared" si="5"/>
        <v>0</v>
      </c>
      <c r="J13">
        <f t="shared" si="6"/>
        <v>56</v>
      </c>
      <c r="K13">
        <v>1001</v>
      </c>
      <c r="L13" t="s">
        <v>22</v>
      </c>
      <c r="M13" s="1" t="s">
        <v>23</v>
      </c>
      <c r="O13" t="s">
        <v>24</v>
      </c>
      <c r="P13" s="3" t="s">
        <v>76</v>
      </c>
      <c r="Q13" s="2">
        <v>45504</v>
      </c>
      <c r="R13">
        <f t="shared" si="7"/>
        <v>56</v>
      </c>
      <c r="S13" t="s">
        <v>60</v>
      </c>
      <c r="T13" t="s">
        <v>32</v>
      </c>
      <c r="U13" t="s">
        <v>71</v>
      </c>
    </row>
    <row r="14" spans="1:21" x14ac:dyDescent="0.25">
      <c r="A14">
        <v>10101</v>
      </c>
      <c r="B14">
        <v>10101</v>
      </c>
      <c r="C14" t="s">
        <v>17</v>
      </c>
      <c r="D14">
        <v>1</v>
      </c>
      <c r="E14">
        <v>980</v>
      </c>
      <c r="F14">
        <v>0</v>
      </c>
      <c r="G14">
        <f t="shared" si="4"/>
        <v>980</v>
      </c>
      <c r="H14">
        <v>0</v>
      </c>
      <c r="I14">
        <f t="shared" si="5"/>
        <v>0</v>
      </c>
      <c r="J14">
        <f t="shared" si="6"/>
        <v>980</v>
      </c>
      <c r="K14">
        <v>1001</v>
      </c>
      <c r="L14" t="s">
        <v>22</v>
      </c>
      <c r="M14" s="1" t="s">
        <v>23</v>
      </c>
      <c r="O14" t="s">
        <v>24</v>
      </c>
      <c r="P14" s="3" t="s">
        <v>77</v>
      </c>
      <c r="Q14" s="2">
        <v>45504</v>
      </c>
      <c r="R14">
        <f t="shared" si="7"/>
        <v>980</v>
      </c>
      <c r="S14" t="s">
        <v>60</v>
      </c>
      <c r="T14" t="s">
        <v>32</v>
      </c>
      <c r="U14" t="s">
        <v>71</v>
      </c>
    </row>
    <row r="15" spans="1:21" x14ac:dyDescent="0.25">
      <c r="A15">
        <v>10101</v>
      </c>
      <c r="B15">
        <v>10101</v>
      </c>
      <c r="C15" t="s">
        <v>18</v>
      </c>
      <c r="D15">
        <v>2</v>
      </c>
      <c r="E15">
        <v>789</v>
      </c>
      <c r="F15">
        <v>0</v>
      </c>
      <c r="G15">
        <f t="shared" si="4"/>
        <v>1578</v>
      </c>
      <c r="H15">
        <v>0</v>
      </c>
      <c r="I15">
        <f t="shared" si="5"/>
        <v>0</v>
      </c>
      <c r="J15">
        <f t="shared" si="6"/>
        <v>1578</v>
      </c>
      <c r="K15">
        <v>1001</v>
      </c>
      <c r="L15" t="s">
        <v>22</v>
      </c>
      <c r="M15" s="1" t="s">
        <v>23</v>
      </c>
      <c r="O15" t="s">
        <v>24</v>
      </c>
      <c r="P15" s="3" t="s">
        <v>77</v>
      </c>
      <c r="Q15" s="2">
        <v>45504</v>
      </c>
      <c r="R15">
        <f t="shared" si="7"/>
        <v>1578</v>
      </c>
      <c r="S15" t="s">
        <v>60</v>
      </c>
      <c r="T15" t="s">
        <v>32</v>
      </c>
      <c r="U15" t="s">
        <v>71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7ACC7E5-041E-4308-A272-E1001A2D64C6}">
          <x14:formula1>
            <xm:f>Sheet2!$A$1:$A$10</xm:f>
          </x14:formula1>
          <xm:sqref>S2:S1048576</xm:sqref>
        </x14:dataValidation>
        <x14:dataValidation type="list" allowBlank="1" showInputMessage="1" showErrorMessage="1" xr:uid="{B16BF65C-2ACC-4870-8327-A85AF800E363}">
          <x14:formula1>
            <xm:f>Sheet2!$C$1:$C$33</xm:f>
          </x14:formula1>
          <xm:sqref>T2:T1048576</xm:sqref>
        </x14:dataValidation>
        <x14:dataValidation type="list" allowBlank="1" showInputMessage="1" showErrorMessage="1" xr:uid="{67B51E25-2693-43E1-B046-84D4C6ECA622}">
          <x14:formula1>
            <xm:f>Sheet2!$E$1:$E$3</xm:f>
          </x14:formula1>
          <xm:sqref>U2:U1048576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986CC-37A1-47B7-B931-996162998512}">
  <dimension ref="A1:E33"/>
  <sheetViews>
    <sheetView workbookViewId="0">
      <selection activeCell="E1" sqref="E1:E3"/>
    </sheetView>
  </sheetViews>
  <sheetFormatPr defaultRowHeight="15" x14ac:dyDescent="0.25"/>
  <cols>
    <col min="1" max="1" width="20.42578125" bestFit="1" customWidth="1"/>
    <col min="3" max="3" width="34.7109375" bestFit="1" customWidth="1"/>
    <col min="5" max="5" width="16.140625" bestFit="1" customWidth="1"/>
  </cols>
  <sheetData>
    <row r="1" spans="1:5" x14ac:dyDescent="0.25">
      <c r="A1" t="s">
        <v>60</v>
      </c>
      <c r="C1" t="s">
        <v>27</v>
      </c>
      <c r="E1" t="s">
        <v>71</v>
      </c>
    </row>
    <row r="2" spans="1:5" x14ac:dyDescent="0.25">
      <c r="A2" t="s">
        <v>61</v>
      </c>
      <c r="C2" t="s">
        <v>28</v>
      </c>
      <c r="E2" t="s">
        <v>72</v>
      </c>
    </row>
    <row r="3" spans="1:5" x14ac:dyDescent="0.25">
      <c r="A3" t="s">
        <v>62</v>
      </c>
      <c r="C3" t="s">
        <v>29</v>
      </c>
      <c r="E3" t="s">
        <v>73</v>
      </c>
    </row>
    <row r="4" spans="1:5" x14ac:dyDescent="0.25">
      <c r="A4" t="s">
        <v>63</v>
      </c>
      <c r="C4" t="s">
        <v>30</v>
      </c>
    </row>
    <row r="5" spans="1:5" x14ac:dyDescent="0.25">
      <c r="A5" t="s">
        <v>64</v>
      </c>
      <c r="C5" t="s">
        <v>31</v>
      </c>
    </row>
    <row r="6" spans="1:5" x14ac:dyDescent="0.25">
      <c r="A6" t="s">
        <v>65</v>
      </c>
      <c r="C6" t="s">
        <v>32</v>
      </c>
    </row>
    <row r="7" spans="1:5" x14ac:dyDescent="0.25">
      <c r="A7" t="s">
        <v>66</v>
      </c>
      <c r="C7" t="s">
        <v>33</v>
      </c>
    </row>
    <row r="8" spans="1:5" x14ac:dyDescent="0.25">
      <c r="A8" t="s">
        <v>67</v>
      </c>
      <c r="C8" t="s">
        <v>34</v>
      </c>
    </row>
    <row r="9" spans="1:5" x14ac:dyDescent="0.25">
      <c r="A9" t="s">
        <v>68</v>
      </c>
      <c r="C9" t="s">
        <v>35</v>
      </c>
    </row>
    <row r="10" spans="1:5" x14ac:dyDescent="0.25">
      <c r="A10" t="s">
        <v>69</v>
      </c>
      <c r="C10" t="s">
        <v>36</v>
      </c>
    </row>
    <row r="11" spans="1:5" x14ac:dyDescent="0.25">
      <c r="C11" t="s">
        <v>37</v>
      </c>
    </row>
    <row r="12" spans="1:5" x14ac:dyDescent="0.25">
      <c r="C12" t="s">
        <v>38</v>
      </c>
    </row>
    <row r="13" spans="1:5" x14ac:dyDescent="0.25">
      <c r="C13" t="s">
        <v>39</v>
      </c>
    </row>
    <row r="14" spans="1:5" x14ac:dyDescent="0.25">
      <c r="C14" t="s">
        <v>40</v>
      </c>
    </row>
    <row r="15" spans="1:5" x14ac:dyDescent="0.25">
      <c r="C15" t="s">
        <v>41</v>
      </c>
    </row>
    <row r="16" spans="1:5" x14ac:dyDescent="0.25">
      <c r="C16" t="s">
        <v>42</v>
      </c>
    </row>
    <row r="17" spans="3:3" x14ac:dyDescent="0.25">
      <c r="C17" t="s">
        <v>43</v>
      </c>
    </row>
    <row r="18" spans="3:3" x14ac:dyDescent="0.25">
      <c r="C18" t="s">
        <v>44</v>
      </c>
    </row>
    <row r="19" spans="3:3" x14ac:dyDescent="0.25">
      <c r="C19" t="s">
        <v>45</v>
      </c>
    </row>
    <row r="20" spans="3:3" x14ac:dyDescent="0.25">
      <c r="C20" t="s">
        <v>46</v>
      </c>
    </row>
    <row r="21" spans="3:3" x14ac:dyDescent="0.25">
      <c r="C21" t="s">
        <v>47</v>
      </c>
    </row>
    <row r="22" spans="3:3" x14ac:dyDescent="0.25">
      <c r="C22" t="s">
        <v>48</v>
      </c>
    </row>
    <row r="23" spans="3:3" x14ac:dyDescent="0.25">
      <c r="C23" t="s">
        <v>49</v>
      </c>
    </row>
    <row r="24" spans="3:3" x14ac:dyDescent="0.25">
      <c r="C24" t="s">
        <v>50</v>
      </c>
    </row>
    <row r="25" spans="3:3" x14ac:dyDescent="0.25">
      <c r="C25" t="s">
        <v>51</v>
      </c>
    </row>
    <row r="26" spans="3:3" x14ac:dyDescent="0.25">
      <c r="C26" t="s">
        <v>52</v>
      </c>
    </row>
    <row r="27" spans="3:3" x14ac:dyDescent="0.25">
      <c r="C27" t="s">
        <v>53</v>
      </c>
    </row>
    <row r="28" spans="3:3" x14ac:dyDescent="0.25">
      <c r="C28" t="s">
        <v>54</v>
      </c>
    </row>
    <row r="29" spans="3:3" x14ac:dyDescent="0.25">
      <c r="C29" t="s">
        <v>55</v>
      </c>
    </row>
    <row r="30" spans="3:3" x14ac:dyDescent="0.25">
      <c r="C30" t="s">
        <v>56</v>
      </c>
    </row>
    <row r="31" spans="3:3" x14ac:dyDescent="0.25">
      <c r="C31" t="s">
        <v>57</v>
      </c>
    </row>
    <row r="32" spans="3:3" x14ac:dyDescent="0.25">
      <c r="C32" t="s">
        <v>58</v>
      </c>
    </row>
    <row r="33" spans="3:3" x14ac:dyDescent="0.25">
      <c r="C3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Divakar</dc:creator>
  <cp:lastModifiedBy>Mohit Diwakar</cp:lastModifiedBy>
  <dcterms:created xsi:type="dcterms:W3CDTF">2015-06-05T18:17:20Z</dcterms:created>
  <dcterms:modified xsi:type="dcterms:W3CDTF">2024-08-01T12:18:01Z</dcterms:modified>
</cp:coreProperties>
</file>